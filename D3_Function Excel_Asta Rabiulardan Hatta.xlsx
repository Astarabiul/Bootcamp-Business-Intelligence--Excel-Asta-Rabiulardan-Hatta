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E:\CV Asta\Pelatihan\Dibimbing. BI\W2\"/>
    </mc:Choice>
  </mc:AlternateContent>
  <xr:revisionPtr revIDLastSave="0" documentId="8_{32E70797-726B-41FE-9F06-B0C9585D4687}" xr6:coauthVersionLast="38" xr6:coauthVersionMax="38" xr10:uidLastSave="{00000000-0000-0000-0000-000000000000}"/>
  <bookViews>
    <workbookView xWindow="0" yWindow="0" windowWidth="20490" windowHeight="7545" activeTab="4" xr2:uid="{00000000-000D-0000-FFFF-FFFF00000000}"/>
  </bookViews>
  <sheets>
    <sheet name="Basic" sheetId="6" r:id="rId1"/>
    <sheet name="Logical,CondAggFunction" sheetId="7" r:id="rId2"/>
    <sheet name="Lookup" sheetId="8" r:id="rId3"/>
    <sheet name="LookupTable" sheetId="3" r:id="rId4"/>
    <sheet name="Cleaning" sheetId="4" r:id="rId5"/>
    <sheet name="Sales Data" sheetId="2" r:id="rId6"/>
  </sheets>
  <definedNames>
    <definedName name="_xlnm._FilterDatabase" localSheetId="1" hidden="1">'Logical,CondAggFunction'!$A$1:$Q$31</definedName>
    <definedName name="_xlnm._FilterDatabase" localSheetId="5" hidden="1">'Sales Data'!$A$1:$M$201</definedName>
  </definedNames>
  <calcPr calcId="179021"/>
</workbook>
</file>

<file path=xl/calcChain.xml><?xml version="1.0" encoding="utf-8"?>
<calcChain xmlns="http://schemas.openxmlformats.org/spreadsheetml/2006/main">
  <c r="F18" i="4" l="1"/>
  <c r="G16" i="4"/>
  <c r="H16" i="4"/>
  <c r="F16" i="4"/>
  <c r="K16" i="4"/>
  <c r="K10" i="4"/>
  <c r="K11" i="4"/>
  <c r="K12" i="4"/>
  <c r="K13" i="4"/>
  <c r="K9" i="4"/>
  <c r="G10" i="4"/>
  <c r="G11" i="4"/>
  <c r="G12" i="4"/>
  <c r="G13" i="4"/>
  <c r="G9" i="4"/>
  <c r="J12" i="4"/>
  <c r="J13" i="4"/>
  <c r="J9" i="4"/>
  <c r="I10" i="4"/>
  <c r="J10" i="4" s="1"/>
  <c r="I11" i="4"/>
  <c r="J11" i="4" s="1"/>
  <c r="I12" i="4"/>
  <c r="I13" i="4"/>
  <c r="I16" i="4"/>
  <c r="I9" i="4"/>
  <c r="H12" i="4"/>
  <c r="H13" i="4"/>
  <c r="H9" i="4"/>
  <c r="H10" i="4"/>
  <c r="F12" i="4"/>
  <c r="F13" i="4"/>
  <c r="F9" i="4"/>
  <c r="F10" i="4"/>
  <c r="C9" i="4" l="1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2" i="8"/>
  <c r="O56" i="7" l="1"/>
  <c r="N52" i="7"/>
  <c r="N53" i="7"/>
  <c r="N51" i="7"/>
  <c r="O48" i="7"/>
  <c r="N44" i="7"/>
  <c r="N45" i="7"/>
  <c r="N43" i="7"/>
  <c r="O40" i="7"/>
  <c r="P40" i="7"/>
  <c r="H11" i="4" l="1"/>
  <c r="F11" i="4"/>
  <c r="E9" i="4"/>
  <c r="E10" i="4"/>
  <c r="E11" i="4"/>
  <c r="E12" i="4"/>
  <c r="E13" i="4"/>
  <c r="D10" i="4"/>
  <c r="D11" i="4"/>
  <c r="D12" i="4"/>
  <c r="D13" i="4"/>
  <c r="D9" i="4"/>
  <c r="B10" i="4"/>
  <c r="B11" i="4"/>
  <c r="B12" i="4"/>
  <c r="B13" i="4"/>
  <c r="B9" i="4"/>
  <c r="A10" i="4"/>
  <c r="A11" i="4"/>
  <c r="A12" i="4"/>
  <c r="A13" i="4"/>
  <c r="A9" i="4"/>
  <c r="N36" i="7"/>
  <c r="N37" i="7"/>
  <c r="N35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2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F30" i="6"/>
  <c r="B30" i="6"/>
  <c r="B31" i="6"/>
  <c r="C31" i="6"/>
  <c r="D31" i="6"/>
  <c r="E31" i="6"/>
  <c r="B32" i="6"/>
  <c r="C32" i="6"/>
  <c r="D32" i="6"/>
  <c r="E32" i="6"/>
  <c r="C30" i="6"/>
  <c r="D30" i="6"/>
  <c r="E30" i="6"/>
  <c r="B24" i="6"/>
  <c r="C24" i="6"/>
  <c r="D24" i="6"/>
  <c r="E24" i="6"/>
  <c r="E26" i="6" s="1"/>
  <c r="B25" i="6"/>
  <c r="C25" i="6"/>
  <c r="D25" i="6"/>
  <c r="E25" i="6"/>
  <c r="C23" i="6"/>
  <c r="D23" i="6"/>
  <c r="E23" i="6"/>
  <c r="B23" i="6"/>
  <c r="B26" i="6" s="1"/>
  <c r="C26" i="6"/>
  <c r="D26" i="6"/>
  <c r="C19" i="6"/>
  <c r="D19" i="6"/>
  <c r="E19" i="6"/>
  <c r="B19" i="6"/>
  <c r="G19" i="6"/>
  <c r="G17" i="6"/>
  <c r="G18" i="6"/>
  <c r="G16" i="6"/>
  <c r="F19" i="6"/>
  <c r="F17" i="6"/>
  <c r="F18" i="6"/>
  <c r="F16" i="6"/>
  <c r="F12" i="6"/>
  <c r="F3" i="6"/>
  <c r="F4" i="6"/>
  <c r="F5" i="6"/>
  <c r="F6" i="6"/>
  <c r="F7" i="6"/>
  <c r="F8" i="6"/>
  <c r="F9" i="6"/>
  <c r="F10" i="6"/>
  <c r="F11" i="6"/>
  <c r="F2" i="6"/>
  <c r="E12" i="6"/>
  <c r="E3" i="6"/>
  <c r="E4" i="6"/>
  <c r="E5" i="6"/>
  <c r="E6" i="6"/>
  <c r="E7" i="6"/>
  <c r="E8" i="6"/>
  <c r="E9" i="6"/>
  <c r="E10" i="6"/>
  <c r="E11" i="6"/>
  <c r="E2" i="6"/>
  <c r="J10" i="6"/>
  <c r="J9" i="6"/>
  <c r="J8" i="6"/>
  <c r="J7" i="6"/>
  <c r="J6" i="6"/>
  <c r="J5" i="6"/>
  <c r="J4" i="6"/>
  <c r="J3" i="6"/>
  <c r="J2" i="6"/>
  <c r="K3" i="6"/>
  <c r="K7" i="6"/>
  <c r="K8" i="6"/>
  <c r="K9" i="6"/>
  <c r="K6" i="6"/>
  <c r="K10" i="6"/>
  <c r="K4" i="6"/>
  <c r="K5" i="6"/>
  <c r="K2" i="6"/>
  <c r="J16" i="4" l="1"/>
</calcChain>
</file>

<file path=xl/sharedStrings.xml><?xml version="1.0" encoding="utf-8"?>
<sst xmlns="http://schemas.openxmlformats.org/spreadsheetml/2006/main" count="1346" uniqueCount="202">
  <si>
    <t>Order ID</t>
  </si>
  <si>
    <t>Region</t>
  </si>
  <si>
    <t>Product</t>
  </si>
  <si>
    <t>Category</t>
  </si>
  <si>
    <t>Discount</t>
  </si>
  <si>
    <t>Quantity</t>
  </si>
  <si>
    <t>Customer Segment</t>
  </si>
  <si>
    <t>Shipping Cost</t>
  </si>
  <si>
    <t>Delivery Time (Days)</t>
  </si>
  <si>
    <t>Bob Martin</t>
  </si>
  <si>
    <t>North</t>
  </si>
  <si>
    <t>Laptop</t>
  </si>
  <si>
    <t>Technology</t>
  </si>
  <si>
    <t>Corporate</t>
  </si>
  <si>
    <t>Mouse</t>
  </si>
  <si>
    <t>Consumer</t>
  </si>
  <si>
    <t>David White</t>
  </si>
  <si>
    <t>East</t>
  </si>
  <si>
    <t>Printer</t>
  </si>
  <si>
    <t>Furniture</t>
  </si>
  <si>
    <t>Small Business</t>
  </si>
  <si>
    <t>Accessories</t>
  </si>
  <si>
    <t>Eve Smith</t>
  </si>
  <si>
    <t>West</t>
  </si>
  <si>
    <t>Headphones</t>
  </si>
  <si>
    <t>South</t>
  </si>
  <si>
    <t>Tablet</t>
  </si>
  <si>
    <t>Electronics</t>
  </si>
  <si>
    <t>Smartphone</t>
  </si>
  <si>
    <t>Alice Johnson</t>
  </si>
  <si>
    <t>Camera</t>
  </si>
  <si>
    <t>Charlie Brown</t>
  </si>
  <si>
    <t>Monitor</t>
  </si>
  <si>
    <t>Desk</t>
  </si>
  <si>
    <t>Chair</t>
  </si>
  <si>
    <t>Prod ID</t>
  </si>
  <si>
    <t>Product Name</t>
  </si>
  <si>
    <t>Supplier</t>
  </si>
  <si>
    <t>Stock Available</t>
  </si>
  <si>
    <t>Reorder Level</t>
  </si>
  <si>
    <t>Warehouse Location</t>
  </si>
  <si>
    <t>P001</t>
  </si>
  <si>
    <t>Supplier A</t>
  </si>
  <si>
    <t>Warehouse 1</t>
  </si>
  <si>
    <t>P002</t>
  </si>
  <si>
    <t>Supplier B</t>
  </si>
  <si>
    <t>Warehouse 2</t>
  </si>
  <si>
    <t>P003</t>
  </si>
  <si>
    <t>Supplier C</t>
  </si>
  <si>
    <t>Warehouse 3</t>
  </si>
  <si>
    <t>P004</t>
  </si>
  <si>
    <t>Supplier D</t>
  </si>
  <si>
    <t>Warehouse 4</t>
  </si>
  <si>
    <t>P005</t>
  </si>
  <si>
    <t>P006</t>
  </si>
  <si>
    <t>Supplier E</t>
  </si>
  <si>
    <t>P007</t>
  </si>
  <si>
    <t>Supplier F</t>
  </si>
  <si>
    <t>P008</t>
  </si>
  <si>
    <t>Supplier G</t>
  </si>
  <si>
    <t>P009</t>
  </si>
  <si>
    <t>Supplier H</t>
  </si>
  <si>
    <t>P010</t>
  </si>
  <si>
    <t>Supplier I</t>
  </si>
  <si>
    <t>Email</t>
  </si>
  <si>
    <t>Phone Number</t>
  </si>
  <si>
    <t>Address</t>
  </si>
  <si>
    <t>Country</t>
  </si>
  <si>
    <t>alice JOHNSON</t>
  </si>
  <si>
    <t>USA</t>
  </si>
  <si>
    <t>BOB martin</t>
  </si>
  <si>
    <t>UK</t>
  </si>
  <si>
    <t>charlie brown</t>
  </si>
  <si>
    <t>Canada</t>
  </si>
  <si>
    <t>dave WHITE</t>
  </si>
  <si>
    <t>Australia</t>
  </si>
  <si>
    <t>EVE SMITH</t>
  </si>
  <si>
    <t>Germany</t>
  </si>
  <si>
    <t>Fungsi</t>
  </si>
  <si>
    <t>Deskripsi</t>
  </si>
  <si>
    <t>SUM</t>
  </si>
  <si>
    <t>Menjumlahkan nilai dalam rentang tertentu</t>
  </si>
  <si>
    <t>AVERAGE</t>
  </si>
  <si>
    <t>Menghitung rata-rata nilai</t>
  </si>
  <si>
    <t>COUNT</t>
  </si>
  <si>
    <t>Menghitung jumlah sel yang berisi angka</t>
  </si>
  <si>
    <t>COUNTA</t>
  </si>
  <si>
    <t>Menghitung jumlah sel yang tidak kosong/text</t>
  </si>
  <si>
    <t>MAX</t>
  </si>
  <si>
    <t>Mencari nilai maksimum dalam rentang</t>
  </si>
  <si>
    <t>MIN</t>
  </si>
  <si>
    <t>Mencari nilai minimum dalam rentang</t>
  </si>
  <si>
    <t>MEDIAN</t>
  </si>
  <si>
    <t>Menghitung nilai tengah dari data numerik</t>
  </si>
  <si>
    <t>MODE</t>
  </si>
  <si>
    <t>Menemukan nilai yang paling sering muncul</t>
  </si>
  <si>
    <t>PRODUCT</t>
  </si>
  <si>
    <t>Menghitung hasil perkalian semua nilai</t>
  </si>
  <si>
    <t>Formula</t>
  </si>
  <si>
    <t>Hasil</t>
  </si>
  <si>
    <t>Total</t>
  </si>
  <si>
    <t>% Total</t>
  </si>
  <si>
    <t>Q1</t>
  </si>
  <si>
    <t>Q2</t>
  </si>
  <si>
    <t>Q3</t>
  </si>
  <si>
    <t>Q4</t>
  </si>
  <si>
    <t>Qty Sold</t>
  </si>
  <si>
    <t>Item Price</t>
  </si>
  <si>
    <t>Sales Name</t>
  </si>
  <si>
    <t>IF</t>
  </si>
  <si>
    <t>Jika Qty &gt;= 10 maka Bulk Order, Retail</t>
  </si>
  <si>
    <t>Jika Delivery &lt;=5 hari maka Fast Delivery, 6-10 Standard Delivery,&gt;10 Slow Delivery</t>
  </si>
  <si>
    <t>IF, IFS, Nested IF</t>
  </si>
  <si>
    <t>AND</t>
  </si>
  <si>
    <t>OR</t>
  </si>
  <si>
    <t>Jika Delivery Time (Days) &lt;= 5 dan Shipping Cost &gt; 500,000, maka itu dianggap "High Priority Shipping", jika tidak "Standard Shipping"</t>
  </si>
  <si>
    <t>Jika Product adalah "Laptop" atau "Tablet", maka produk dianggap "Premium Product", jika tidak "Regular Product"</t>
  </si>
  <si>
    <t>NOT</t>
  </si>
  <si>
    <r>
      <t>Jika Customer Segment</t>
    </r>
    <r>
      <rPr>
        <b/>
        <sz val="11"/>
        <color theme="1"/>
        <rFont val="Calibri"/>
        <family val="2"/>
        <scheme val="minor"/>
      </rPr>
      <t xml:space="preserve"> BUKAN</t>
    </r>
    <r>
      <rPr>
        <sz val="11"/>
        <color theme="1"/>
        <rFont val="Calibri"/>
        <family val="2"/>
        <scheme val="minor"/>
      </rPr>
      <t xml:space="preserve"> "Consumer", maka tampilkan "Business Order", jika tidak "Consumer Order".</t>
    </r>
  </si>
  <si>
    <t>IFS</t>
  </si>
  <si>
    <t>SOAL:</t>
  </si>
  <si>
    <t>Tech</t>
  </si>
  <si>
    <t>Acc</t>
  </si>
  <si>
    <t>Elec</t>
  </si>
  <si>
    <t>Furn</t>
  </si>
  <si>
    <t>SupA</t>
  </si>
  <si>
    <t>SupB</t>
  </si>
  <si>
    <t>SupC</t>
  </si>
  <si>
    <t>SupD</t>
  </si>
  <si>
    <t>SupE</t>
  </si>
  <si>
    <t>SupF</t>
  </si>
  <si>
    <t>SupG</t>
  </si>
  <si>
    <t>SupH</t>
  </si>
  <si>
    <t>SupI</t>
  </si>
  <si>
    <t>SupJ</t>
  </si>
  <si>
    <t>Name</t>
  </si>
  <si>
    <t>1. Cleaning Name menggunakan =PROPER</t>
  </si>
  <si>
    <t>2. Cleaning Email menngunakan =LOWER</t>
  </si>
  <si>
    <t>3. Cleaning "Phone Number" (Menggunakan SUBSTITUTE)</t>
  </si>
  <si>
    <t>=SUBSTITUTE(SUBSTITUTE(SUBSTITUTE(C2, "(", ""), ")", ""), "-", "")</t>
  </si>
  <si>
    <t>456 Elm   St, City B</t>
  </si>
  <si>
    <t>101  Pine St, City D</t>
  </si>
  <si>
    <t>123 Main St, City   A</t>
  </si>
  <si>
    <t xml:space="preserve"> 789 Oak St, City C</t>
  </si>
  <si>
    <t xml:space="preserve">222   Maple St, City E </t>
  </si>
  <si>
    <t>4. Cleaning "Address" (Menggunakan TRIM)</t>
  </si>
  <si>
    <t>ALICE@GOOGLE.COM</t>
  </si>
  <si>
    <t>BOB@YAHOO.com</t>
  </si>
  <si>
    <t>charlie@yahoo.COM</t>
  </si>
  <si>
    <t>DAVE@google.com</t>
  </si>
  <si>
    <t>eve@google.com</t>
  </si>
  <si>
    <t>Extract Nama Depan dan Belakang</t>
  </si>
  <si>
    <t>1. Temukan Posisi Spasi dalam Nama menggunakan FIND</t>
  </si>
  <si>
    <t>2. Extract Nama Depan menggunakan LEFT dan FIND</t>
  </si>
  <si>
    <t>3. Extract Nama Belakang Menggunakan RIGHT dan LEN</t>
  </si>
  <si>
    <t>4. Penggunaan MID untuk mengekstrak nama Tengah, coba contoh dibawah</t>
  </si>
  <si>
    <t>Cleaning Data</t>
  </si>
  <si>
    <t>Unit Price After Discount</t>
  </si>
  <si>
    <t>Total Sales</t>
  </si>
  <si>
    <t>Amount to Pay</t>
  </si>
  <si>
    <t>Unit  Price</t>
  </si>
  <si>
    <t>Order Category</t>
  </si>
  <si>
    <t>Delivery Category (Nested IF)</t>
  </si>
  <si>
    <t>Delivery Category (IFS)</t>
  </si>
  <si>
    <t>SUMIF</t>
  </si>
  <si>
    <t>SUMIFS</t>
  </si>
  <si>
    <t>COUNTIF</t>
  </si>
  <si>
    <t>COUNTIFS</t>
  </si>
  <si>
    <t>AVERAGEIF</t>
  </si>
  <si>
    <t>AVERAGEIFS</t>
  </si>
  <si>
    <t>Product Category (VLOOKUP)</t>
  </si>
  <si>
    <t>Warehouse (VLOOKUP)</t>
  </si>
  <si>
    <t>Stock Available (HLOOKUP)</t>
  </si>
  <si>
    <t>Reorder Level (XLOOKUP)</t>
  </si>
  <si>
    <t>Supplier (INDEX-MATCH)</t>
  </si>
  <si>
    <t>Name (PROPER)</t>
  </si>
  <si>
    <t>Email (LOWER)</t>
  </si>
  <si>
    <t>Address (TRIM)</t>
  </si>
  <si>
    <t>Spasi</t>
  </si>
  <si>
    <t>Nama Depan</t>
  </si>
  <si>
    <t>LEN</t>
  </si>
  <si>
    <t>Price per unit</t>
  </si>
  <si>
    <t>Total Amount (Relative)</t>
  </si>
  <si>
    <t>% penjualan per product per quarter dalam 1 tahun</t>
  </si>
  <si>
    <t>% penjualan per product per quarter dalam 1 tahun (ALL Product)</t>
  </si>
  <si>
    <t>Insight: Penjualan terbaik adalah mouse pada Q4</t>
  </si>
  <si>
    <t>Nested IF</t>
  </si>
  <si>
    <t>Total Amount</t>
  </si>
  <si>
    <t>Country (Upper)</t>
  </si>
  <si>
    <t>Asta Rabiulardan Hatta</t>
  </si>
  <si>
    <t>Spasi 1</t>
  </si>
  <si>
    <t>Spasi 2</t>
  </si>
  <si>
    <t>Jumlah invoice atau orderan yang masuk</t>
  </si>
  <si>
    <t>Rata-rata penjualan produk perbulannya</t>
  </si>
  <si>
    <t>Fungsi Xlookup tidak ada (Excel belum support)</t>
  </si>
  <si>
    <t>(123) 4567890</t>
  </si>
  <si>
    <t>(987) 6543210</t>
  </si>
  <si>
    <t>(555) 5555555</t>
  </si>
  <si>
    <t>Len</t>
  </si>
  <si>
    <t>Nama Depan (Left+Find)</t>
  </si>
  <si>
    <t>Nama Belakang (Pakai Helper)</t>
  </si>
  <si>
    <t>Nama Belakang (RIGHT)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</si>
</sst>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m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165" fontId="0" fillId="0" borderId="0" xfId="1" applyNumberFormat="1" applyFont="1"/>
    <xf numFmtId="165" fontId="0" fillId="0" borderId="1" xfId="1" applyNumberFormat="1" applyFont="1" applyBorder="1"/>
    <xf numFmtId="9" fontId="0" fillId="0" borderId="0" xfId="2" applyNumberFormat="1" applyFont="1"/>
    <xf numFmtId="14" fontId="0" fillId="0" borderId="0" xfId="0" applyNumberFormat="1"/>
    <xf numFmtId="0" fontId="2" fillId="0" borderId="1" xfId="0" applyFont="1" applyFill="1" applyBorder="1" applyAlignment="1">
      <alignment horizontal="center" vertical="center"/>
    </xf>
    <xf numFmtId="9" fontId="0" fillId="0" borderId="1" xfId="2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0" xfId="0" applyFill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0" fontId="0" fillId="0" borderId="1" xfId="2" applyNumberFormat="1" applyFont="1" applyBorder="1"/>
    <xf numFmtId="9" fontId="0" fillId="0" borderId="0" xfId="0" applyNumberFormat="1"/>
    <xf numFmtId="9" fontId="0" fillId="0" borderId="1" xfId="2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2" xfId="0" applyFill="1" applyBorder="1"/>
    <xf numFmtId="0" fontId="2" fillId="0" borderId="1" xfId="0" applyFont="1" applyFill="1" applyBorder="1" applyAlignment="1">
      <alignment horizontal="center"/>
    </xf>
    <xf numFmtId="166" fontId="0" fillId="0" borderId="0" xfId="0" applyNumberFormat="1"/>
    <xf numFmtId="165" fontId="0" fillId="0" borderId="1" xfId="1" applyNumberFormat="1" applyFont="1" applyFill="1" applyBorder="1" applyAlignment="1">
      <alignment horizontal="center" vertical="center"/>
    </xf>
    <xf numFmtId="10" fontId="0" fillId="0" borderId="1" xfId="2" applyNumberFormat="1" applyFont="1" applyFill="1" applyBorder="1" applyAlignment="1">
      <alignment horizontal="center" vertical="center"/>
    </xf>
    <xf numFmtId="10" fontId="0" fillId="0" borderId="0" xfId="0" applyNumberForma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4" borderId="0" xfId="3" applyNumberFormat="1"/>
    <xf numFmtId="10" fontId="0" fillId="0" borderId="0" xfId="0" applyNumberFormat="1"/>
    <xf numFmtId="0" fontId="2" fillId="3" borderId="0" xfId="0" applyFont="1" applyFill="1" applyBorder="1"/>
    <xf numFmtId="0" fontId="3" fillId="4" borderId="0" xfId="3" applyBorder="1"/>
    <xf numFmtId="9" fontId="0" fillId="0" borderId="1" xfId="0" applyNumberFormat="1" applyBorder="1"/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/>
    <xf numFmtId="0" fontId="0" fillId="5" borderId="0" xfId="0" applyFill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4">
    <cellStyle name="Accent6" xfId="3" builtinId="49"/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923D-18ED-4B16-BAE4-0AB13EC64B91}">
  <dimension ref="A1:K33"/>
  <sheetViews>
    <sheetView topLeftCell="A16" workbookViewId="0">
      <selection activeCell="C36" sqref="C36"/>
    </sheetView>
  </sheetViews>
  <sheetFormatPr defaultRowHeight="15" x14ac:dyDescent="0.25"/>
  <cols>
    <col min="2" max="2" width="17.140625" customWidth="1"/>
    <col min="3" max="3" width="18.85546875" customWidth="1"/>
    <col min="4" max="4" width="14.140625" customWidth="1"/>
    <col min="5" max="5" width="23.42578125" customWidth="1"/>
    <col min="6" max="6" width="14.140625" customWidth="1"/>
    <col min="7" max="7" width="13.28515625" customWidth="1"/>
    <col min="8" max="8" width="12.28515625" customWidth="1"/>
    <col min="9" max="9" width="41.7109375" bestFit="1" customWidth="1"/>
    <col min="10" max="10" width="14.28515625" bestFit="1" customWidth="1"/>
    <col min="11" max="11" width="20.5703125" customWidth="1"/>
  </cols>
  <sheetData>
    <row r="1" spans="1:11" x14ac:dyDescent="0.25">
      <c r="A1" s="16" t="s">
        <v>0</v>
      </c>
      <c r="B1" s="16" t="s">
        <v>2</v>
      </c>
      <c r="C1" s="16" t="s">
        <v>181</v>
      </c>
      <c r="D1" s="16" t="s">
        <v>5</v>
      </c>
      <c r="E1" s="16" t="s">
        <v>182</v>
      </c>
      <c r="F1" s="16" t="s">
        <v>101</v>
      </c>
      <c r="H1" s="3" t="s">
        <v>78</v>
      </c>
      <c r="I1" s="3" t="s">
        <v>79</v>
      </c>
      <c r="J1" s="3" t="s">
        <v>99</v>
      </c>
      <c r="K1" s="3" t="s">
        <v>98</v>
      </c>
    </row>
    <row r="2" spans="1:11" x14ac:dyDescent="0.25">
      <c r="A2" s="6">
        <v>1001</v>
      </c>
      <c r="B2" s="4" t="s">
        <v>11</v>
      </c>
      <c r="C2" s="8">
        <v>4612059</v>
      </c>
      <c r="D2" s="8">
        <v>20</v>
      </c>
      <c r="E2" s="38">
        <f>C2*D2</f>
        <v>92241180</v>
      </c>
      <c r="F2" s="39">
        <f>E2/$E$12</f>
        <v>0.1957310027190092</v>
      </c>
      <c r="H2" s="4" t="s">
        <v>80</v>
      </c>
      <c r="I2" s="4" t="s">
        <v>81</v>
      </c>
      <c r="J2" s="11">
        <f>SUM(D2:D11)</f>
        <v>121</v>
      </c>
      <c r="K2" s="4" t="str">
        <f ca="1">_xlfn.FORMULATEXT(J2)</f>
        <v>=SUM(D2:D11)</v>
      </c>
    </row>
    <row r="3" spans="1:11" x14ac:dyDescent="0.25">
      <c r="A3" s="6">
        <v>1002</v>
      </c>
      <c r="B3" s="4" t="s">
        <v>14</v>
      </c>
      <c r="C3" s="8">
        <v>4156127</v>
      </c>
      <c r="D3" s="8">
        <v>1</v>
      </c>
      <c r="E3" s="38">
        <f t="shared" ref="E3:E11" si="0">C3*D3</f>
        <v>4156127</v>
      </c>
      <c r="F3" s="39">
        <f t="shared" ref="F3:F11" si="1">E3/$E$12</f>
        <v>8.8190860647874153E-3</v>
      </c>
      <c r="H3" s="4" t="s">
        <v>82</v>
      </c>
      <c r="I3" s="4" t="s">
        <v>83</v>
      </c>
      <c r="J3" s="11">
        <f>AVERAGE(D2:D11)</f>
        <v>12.1</v>
      </c>
      <c r="K3" s="4" t="str">
        <f t="shared" ref="K3:K10" ca="1" si="2">_xlfn.FORMULATEXT(J3)</f>
        <v>=AVERAGE(D2:D11)</v>
      </c>
    </row>
    <row r="4" spans="1:11" x14ac:dyDescent="0.25">
      <c r="A4" s="6">
        <v>1003</v>
      </c>
      <c r="B4" s="4" t="s">
        <v>18</v>
      </c>
      <c r="C4" s="8">
        <v>1725042</v>
      </c>
      <c r="D4" s="8">
        <v>17</v>
      </c>
      <c r="E4" s="38">
        <f t="shared" si="0"/>
        <v>29325714</v>
      </c>
      <c r="F4" s="39">
        <f t="shared" si="1"/>
        <v>6.2227645035231406E-2</v>
      </c>
      <c r="H4" s="4" t="s">
        <v>84</v>
      </c>
      <c r="I4" s="4" t="s">
        <v>85</v>
      </c>
      <c r="J4" s="11">
        <f>COUNT(D2:D11)</f>
        <v>10</v>
      </c>
      <c r="K4" s="4" t="str">
        <f t="shared" ca="1" si="2"/>
        <v>=COUNT(D2:D11)</v>
      </c>
    </row>
    <row r="5" spans="1:11" x14ac:dyDescent="0.25">
      <c r="A5" s="6">
        <v>1004</v>
      </c>
      <c r="B5" s="4" t="s">
        <v>11</v>
      </c>
      <c r="C5" s="8">
        <v>4612059</v>
      </c>
      <c r="D5" s="8">
        <v>12</v>
      </c>
      <c r="E5" s="38">
        <f t="shared" si="0"/>
        <v>55344708</v>
      </c>
      <c r="F5" s="39">
        <f t="shared" si="1"/>
        <v>0.11743860163140553</v>
      </c>
      <c r="H5" s="4" t="s">
        <v>86</v>
      </c>
      <c r="I5" s="4" t="s">
        <v>87</v>
      </c>
      <c r="J5" s="11">
        <f>COUNTA(D2:D11)</f>
        <v>10</v>
      </c>
      <c r="K5" s="4" t="str">
        <f t="shared" ca="1" si="2"/>
        <v>=COUNTA(D2:D11)</v>
      </c>
    </row>
    <row r="6" spans="1:11" x14ac:dyDescent="0.25">
      <c r="A6" s="6">
        <v>1005</v>
      </c>
      <c r="B6" s="4" t="s">
        <v>24</v>
      </c>
      <c r="C6" s="8">
        <v>381259</v>
      </c>
      <c r="D6" s="8">
        <v>9</v>
      </c>
      <c r="E6" s="38">
        <f t="shared" si="0"/>
        <v>3431331</v>
      </c>
      <c r="F6" s="39">
        <f t="shared" si="1"/>
        <v>7.2811065219549513E-3</v>
      </c>
      <c r="H6" s="4" t="s">
        <v>88</v>
      </c>
      <c r="I6" s="4" t="s">
        <v>89</v>
      </c>
      <c r="J6" s="11">
        <f>MAX(C2:C11)</f>
        <v>9154155</v>
      </c>
      <c r="K6" s="4" t="str">
        <f t="shared" ca="1" si="2"/>
        <v>=MAX(C2:C11)</v>
      </c>
    </row>
    <row r="7" spans="1:11" x14ac:dyDescent="0.25">
      <c r="A7" s="6">
        <v>1006</v>
      </c>
      <c r="B7" s="4" t="s">
        <v>26</v>
      </c>
      <c r="C7" s="8">
        <v>3517798</v>
      </c>
      <c r="D7" s="8">
        <v>5</v>
      </c>
      <c r="E7" s="38">
        <f t="shared" si="0"/>
        <v>17588990</v>
      </c>
      <c r="F7" s="39">
        <f t="shared" si="1"/>
        <v>3.7322925070067681E-2</v>
      </c>
      <c r="H7" s="4" t="s">
        <v>90</v>
      </c>
      <c r="I7" s="4" t="s">
        <v>91</v>
      </c>
      <c r="J7" s="11">
        <f>MIN(C2:C11)</f>
        <v>381259</v>
      </c>
      <c r="K7" s="4" t="str">
        <f t="shared" ca="1" si="2"/>
        <v>=MIN(C2:C11)</v>
      </c>
    </row>
    <row r="8" spans="1:11" x14ac:dyDescent="0.25">
      <c r="A8" s="6">
        <v>1007</v>
      </c>
      <c r="B8" s="4" t="s">
        <v>18</v>
      </c>
      <c r="C8" s="8">
        <v>4056860</v>
      </c>
      <c r="D8" s="8">
        <v>9</v>
      </c>
      <c r="E8" s="38">
        <f t="shared" si="0"/>
        <v>36511740</v>
      </c>
      <c r="F8" s="39">
        <f t="shared" si="1"/>
        <v>7.7476019725850831E-2</v>
      </c>
      <c r="H8" s="4" t="s">
        <v>92</v>
      </c>
      <c r="I8" s="4" t="s">
        <v>93</v>
      </c>
      <c r="J8" s="11">
        <f>MEDIAN(D2:D11)</f>
        <v>12</v>
      </c>
      <c r="K8" s="4" t="str">
        <f t="shared" ca="1" si="2"/>
        <v>=MEDIAN(D2:D11)</v>
      </c>
    </row>
    <row r="9" spans="1:11" x14ac:dyDescent="0.25">
      <c r="A9" s="6">
        <v>1008</v>
      </c>
      <c r="B9" s="4" t="s">
        <v>28</v>
      </c>
      <c r="C9" s="8">
        <v>9154155</v>
      </c>
      <c r="D9" s="8">
        <v>12</v>
      </c>
      <c r="E9" s="38">
        <f t="shared" si="0"/>
        <v>109849860</v>
      </c>
      <c r="F9" s="39">
        <f t="shared" si="1"/>
        <v>0.23309570894846293</v>
      </c>
      <c r="H9" s="4" t="s">
        <v>94</v>
      </c>
      <c r="I9" s="4" t="s">
        <v>95</v>
      </c>
      <c r="J9" s="11">
        <f>MODE(D2:D11)</f>
        <v>20</v>
      </c>
      <c r="K9" s="4" t="str">
        <f t="shared" ca="1" si="2"/>
        <v>=MODE(D2:D11)</v>
      </c>
    </row>
    <row r="10" spans="1:11" x14ac:dyDescent="0.25">
      <c r="A10" s="6">
        <v>1009</v>
      </c>
      <c r="B10" s="4" t="s">
        <v>30</v>
      </c>
      <c r="C10" s="8">
        <v>4734466</v>
      </c>
      <c r="D10" s="8">
        <v>16</v>
      </c>
      <c r="E10" s="38">
        <f t="shared" si="0"/>
        <v>75751456</v>
      </c>
      <c r="F10" s="39">
        <f t="shared" si="1"/>
        <v>0.16074066312144863</v>
      </c>
      <c r="H10" s="4" t="s">
        <v>96</v>
      </c>
      <c r="I10" s="4" t="s">
        <v>97</v>
      </c>
      <c r="J10" s="11">
        <f>PRODUCT(D2:D11)</f>
        <v>6345216000</v>
      </c>
      <c r="K10" s="4" t="str">
        <f t="shared" ca="1" si="2"/>
        <v>=PRODUCT(D2:D11)</v>
      </c>
    </row>
    <row r="11" spans="1:11" x14ac:dyDescent="0.25">
      <c r="A11" s="6">
        <v>1010</v>
      </c>
      <c r="B11" s="4" t="s">
        <v>24</v>
      </c>
      <c r="C11" s="8">
        <v>2353197</v>
      </c>
      <c r="D11" s="8">
        <v>20</v>
      </c>
      <c r="E11" s="38">
        <f t="shared" si="0"/>
        <v>47063940</v>
      </c>
      <c r="F11" s="39">
        <f t="shared" si="1"/>
        <v>9.9867241161781389E-2</v>
      </c>
    </row>
    <row r="12" spans="1:11" x14ac:dyDescent="0.25">
      <c r="E12" s="46">
        <f>SUM(E2:E11)</f>
        <v>471265046</v>
      </c>
      <c r="F12" s="40">
        <f>SUM(F2:F11)</f>
        <v>0.99999999999999989</v>
      </c>
    </row>
    <row r="13" spans="1:11" x14ac:dyDescent="0.25">
      <c r="E13" s="21"/>
      <c r="F13" s="21"/>
    </row>
    <row r="15" spans="1:11" x14ac:dyDescent="0.25">
      <c r="A15" s="17" t="s">
        <v>106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100</v>
      </c>
      <c r="G15" s="16" t="s">
        <v>101</v>
      </c>
    </row>
    <row r="16" spans="1:11" x14ac:dyDescent="0.25">
      <c r="A16" s="17" t="s">
        <v>11</v>
      </c>
      <c r="B16" s="4">
        <v>20</v>
      </c>
      <c r="C16" s="4">
        <v>30</v>
      </c>
      <c r="D16" s="4">
        <v>15</v>
      </c>
      <c r="E16" s="4">
        <v>65</v>
      </c>
      <c r="F16" s="4">
        <f>SUM(B16:E16)</f>
        <v>130</v>
      </c>
      <c r="G16" s="28">
        <f>F16/$F$19</f>
        <v>0.12633624878522837</v>
      </c>
    </row>
    <row r="17" spans="1:7" x14ac:dyDescent="0.25">
      <c r="A17" s="17" t="s">
        <v>14</v>
      </c>
      <c r="B17" s="4">
        <v>127</v>
      </c>
      <c r="C17" s="4">
        <v>135</v>
      </c>
      <c r="D17" s="4">
        <v>129</v>
      </c>
      <c r="E17" s="4">
        <v>165</v>
      </c>
      <c r="F17" s="4">
        <f t="shared" ref="F17:F18" si="3">SUM(B17:E17)</f>
        <v>556</v>
      </c>
      <c r="G17" s="28">
        <f t="shared" ref="G17:G18" si="4">F17/$F$19</f>
        <v>0.54033041788143832</v>
      </c>
    </row>
    <row r="18" spans="1:7" x14ac:dyDescent="0.25">
      <c r="A18" s="17" t="s">
        <v>18</v>
      </c>
      <c r="B18" s="4">
        <v>87</v>
      </c>
      <c r="C18" s="4">
        <v>96</v>
      </c>
      <c r="D18" s="4">
        <v>85</v>
      </c>
      <c r="E18" s="4">
        <v>75</v>
      </c>
      <c r="F18" s="4">
        <f t="shared" si="3"/>
        <v>343</v>
      </c>
      <c r="G18" s="28">
        <f t="shared" si="4"/>
        <v>0.33333333333333331</v>
      </c>
    </row>
    <row r="19" spans="1:7" x14ac:dyDescent="0.25">
      <c r="A19" s="49" t="s">
        <v>100</v>
      </c>
      <c r="B19">
        <f>SUM(B16:B18)</f>
        <v>234</v>
      </c>
      <c r="C19">
        <f t="shared" ref="C19:E19" si="5">SUM(C16:C18)</f>
        <v>261</v>
      </c>
      <c r="D19">
        <f t="shared" si="5"/>
        <v>229</v>
      </c>
      <c r="E19">
        <f t="shared" si="5"/>
        <v>305</v>
      </c>
      <c r="F19" s="21">
        <f>SUM(F16:F18)</f>
        <v>1029</v>
      </c>
      <c r="G19" s="47">
        <f>SUM(G16:G18)</f>
        <v>1</v>
      </c>
    </row>
    <row r="21" spans="1:7" x14ac:dyDescent="0.25">
      <c r="A21" s="48" t="s">
        <v>183</v>
      </c>
    </row>
    <row r="22" spans="1:7" x14ac:dyDescent="0.25">
      <c r="A22" s="17" t="s">
        <v>106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29"/>
    </row>
    <row r="23" spans="1:7" x14ac:dyDescent="0.25">
      <c r="A23" s="17" t="s">
        <v>11</v>
      </c>
      <c r="B23" s="15">
        <f>B16/$F16</f>
        <v>0.15384615384615385</v>
      </c>
      <c r="C23" s="15">
        <f t="shared" ref="C23:E23" si="6">C16/$F16</f>
        <v>0.23076923076923078</v>
      </c>
      <c r="D23" s="15">
        <f t="shared" si="6"/>
        <v>0.11538461538461539</v>
      </c>
      <c r="E23" s="15">
        <f t="shared" si="6"/>
        <v>0.5</v>
      </c>
      <c r="F23" s="29"/>
    </row>
    <row r="24" spans="1:7" x14ac:dyDescent="0.25">
      <c r="A24" s="17" t="s">
        <v>14</v>
      </c>
      <c r="B24" s="15">
        <f t="shared" ref="B24:E24" si="7">B17/$F17</f>
        <v>0.22841726618705036</v>
      </c>
      <c r="C24" s="15">
        <f t="shared" si="7"/>
        <v>0.24280575539568344</v>
      </c>
      <c r="D24" s="15">
        <f t="shared" si="7"/>
        <v>0.23201438848920863</v>
      </c>
      <c r="E24" s="15">
        <f t="shared" si="7"/>
        <v>0.29676258992805754</v>
      </c>
      <c r="F24" s="29"/>
    </row>
    <row r="25" spans="1:7" x14ac:dyDescent="0.25">
      <c r="A25" s="17" t="s">
        <v>18</v>
      </c>
      <c r="B25" s="15">
        <f t="shared" ref="B25:E25" si="8">B18/$F18</f>
        <v>0.25364431486880468</v>
      </c>
      <c r="C25" s="15">
        <f t="shared" si="8"/>
        <v>0.27988338192419826</v>
      </c>
      <c r="D25" s="15">
        <f t="shared" si="8"/>
        <v>0.24781341107871721</v>
      </c>
      <c r="E25" s="15">
        <f t="shared" si="8"/>
        <v>0.21865889212827988</v>
      </c>
    </row>
    <row r="26" spans="1:7" x14ac:dyDescent="0.25">
      <c r="A26" s="49" t="s">
        <v>100</v>
      </c>
      <c r="B26" s="29">
        <f>SUM(B23:B25)</f>
        <v>0.63590773490200891</v>
      </c>
      <c r="C26" s="29">
        <f t="shared" ref="C26:E26" si="9">SUM(C23:C25)</f>
        <v>0.75345836808911248</v>
      </c>
      <c r="D26" s="29">
        <f t="shared" si="9"/>
        <v>0.59521241495254129</v>
      </c>
      <c r="E26" s="29">
        <f t="shared" si="9"/>
        <v>1.0154214820563374</v>
      </c>
    </row>
    <row r="28" spans="1:7" x14ac:dyDescent="0.25">
      <c r="A28" s="48" t="s">
        <v>184</v>
      </c>
    </row>
    <row r="29" spans="1:7" x14ac:dyDescent="0.25">
      <c r="A29" s="17" t="s">
        <v>106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100</v>
      </c>
      <c r="G29" s="16"/>
    </row>
    <row r="30" spans="1:7" x14ac:dyDescent="0.25">
      <c r="A30" s="17" t="s">
        <v>11</v>
      </c>
      <c r="B30" s="50">
        <f>B16/$F$19</f>
        <v>1.9436345966958212E-2</v>
      </c>
      <c r="C30" s="50">
        <f t="shared" ref="C30:E30" si="10">C16/$F$19</f>
        <v>2.9154518950437316E-2</v>
      </c>
      <c r="D30" s="50">
        <f t="shared" si="10"/>
        <v>1.4577259475218658E-2</v>
      </c>
      <c r="E30" s="50">
        <f t="shared" si="10"/>
        <v>6.3168124392614183E-2</v>
      </c>
      <c r="F30" s="51">
        <f>SUM(B30:E32)</f>
        <v>1</v>
      </c>
      <c r="G30" s="28"/>
    </row>
    <row r="31" spans="1:7" x14ac:dyDescent="0.25">
      <c r="A31" s="17" t="s">
        <v>14</v>
      </c>
      <c r="B31" s="50">
        <f t="shared" ref="B31:E31" si="11">B17/$F$19</f>
        <v>0.12342079689018465</v>
      </c>
      <c r="C31" s="50">
        <f t="shared" si="11"/>
        <v>0.13119533527696792</v>
      </c>
      <c r="D31" s="50">
        <f t="shared" si="11"/>
        <v>0.12536443148688048</v>
      </c>
      <c r="E31" s="50">
        <f t="shared" si="11"/>
        <v>0.16034985422740525</v>
      </c>
      <c r="F31" s="52"/>
      <c r="G31" s="28"/>
    </row>
    <row r="32" spans="1:7" x14ac:dyDescent="0.25">
      <c r="A32" s="17" t="s">
        <v>18</v>
      </c>
      <c r="B32" s="50">
        <f t="shared" ref="B32:E32" si="12">B18/$F$19</f>
        <v>8.4548104956268216E-2</v>
      </c>
      <c r="C32" s="50">
        <f t="shared" si="12"/>
        <v>9.3294460641399415E-2</v>
      </c>
      <c r="D32" s="50">
        <f t="shared" si="12"/>
        <v>8.2604470359572399E-2</v>
      </c>
      <c r="E32" s="50">
        <f t="shared" si="12"/>
        <v>7.2886297376093298E-2</v>
      </c>
      <c r="F32" s="53"/>
      <c r="G32" s="28"/>
    </row>
    <row r="33" spans="1:7" x14ac:dyDescent="0.25">
      <c r="A33" s="18" t="s">
        <v>185</v>
      </c>
      <c r="B33" s="18"/>
      <c r="C33" s="18"/>
      <c r="F33" s="21"/>
      <c r="G33" s="47"/>
    </row>
  </sheetData>
  <mergeCells count="1">
    <mergeCell ref="F30:F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57F4-3B4F-4106-AE6C-B58BEF4C5AEB}">
  <dimension ref="A1:Q56"/>
  <sheetViews>
    <sheetView topLeftCell="B42" zoomScale="85" zoomScaleNormal="85" workbookViewId="0">
      <selection activeCell="O56" sqref="O56"/>
    </sheetView>
  </sheetViews>
  <sheetFormatPr defaultRowHeight="15" x14ac:dyDescent="0.25"/>
  <cols>
    <col min="2" max="2" width="13.85546875" customWidth="1"/>
    <col min="5" max="5" width="18.7109375" customWidth="1"/>
    <col min="8" max="8" width="21" customWidth="1"/>
    <col min="9" max="9" width="16" customWidth="1"/>
    <col min="12" max="12" width="11.28515625" style="1" customWidth="1"/>
    <col min="13" max="13" width="26.85546875" customWidth="1"/>
    <col min="14" max="14" width="25.5703125" customWidth="1"/>
    <col min="15" max="15" width="29.85546875" style="1" customWidth="1"/>
    <col min="16" max="16" width="39.140625" style="1" customWidth="1"/>
    <col min="17" max="17" width="26.140625" style="1" customWidth="1"/>
  </cols>
  <sheetData>
    <row r="1" spans="1:17" ht="45" x14ac:dyDescent="0.25">
      <c r="A1" s="26" t="s">
        <v>0</v>
      </c>
      <c r="B1" s="26" t="s">
        <v>108</v>
      </c>
      <c r="C1" s="26" t="s">
        <v>1</v>
      </c>
      <c r="D1" s="26" t="s">
        <v>2</v>
      </c>
      <c r="E1" s="26" t="s">
        <v>107</v>
      </c>
      <c r="F1" s="26" t="s">
        <v>4</v>
      </c>
      <c r="G1" s="26" t="s">
        <v>5</v>
      </c>
      <c r="H1" s="26" t="s">
        <v>187</v>
      </c>
      <c r="I1" s="26" t="s">
        <v>6</v>
      </c>
      <c r="J1" s="26" t="s">
        <v>7</v>
      </c>
      <c r="K1" s="26" t="s">
        <v>8</v>
      </c>
      <c r="L1" s="41" t="s">
        <v>161</v>
      </c>
      <c r="M1" s="41" t="s">
        <v>162</v>
      </c>
      <c r="N1" s="41" t="s">
        <v>163</v>
      </c>
      <c r="O1" s="41" t="s">
        <v>113</v>
      </c>
      <c r="P1" s="41" t="s">
        <v>114</v>
      </c>
      <c r="Q1" s="41" t="s">
        <v>117</v>
      </c>
    </row>
    <row r="2" spans="1:17" x14ac:dyDescent="0.25">
      <c r="A2" s="4">
        <v>1001</v>
      </c>
      <c r="B2" s="4" t="s">
        <v>9</v>
      </c>
      <c r="C2" s="4" t="s">
        <v>10</v>
      </c>
      <c r="D2" s="4" t="s">
        <v>11</v>
      </c>
      <c r="E2" s="11">
        <v>4612059</v>
      </c>
      <c r="F2" s="30">
        <v>0.1</v>
      </c>
      <c r="G2" s="4">
        <v>20</v>
      </c>
      <c r="H2" s="45">
        <f>E2*G2</f>
        <v>92241180</v>
      </c>
      <c r="I2" s="4" t="s">
        <v>13</v>
      </c>
      <c r="J2" s="11">
        <v>327163</v>
      </c>
      <c r="K2" s="4">
        <v>2</v>
      </c>
      <c r="L2" s="42" t="str">
        <f>IF(G2&gt;=10,"Bulk Order","Retail")</f>
        <v>Bulk Order</v>
      </c>
      <c r="M2" s="42" t="str">
        <f>IF(K2&lt;=5,"Fast Delivery",IF(K2&lt;=10,"Standard Delivery","Slow Delivery"))</f>
        <v>Fast Delivery</v>
      </c>
      <c r="N2" s="43" t="str">
        <f>_xlfn.IFS(K2&lt;=5,"Fast Delivery",K2&lt;=10,"Standard Delivery",K2&gt;10,"Slow Delivery")</f>
        <v>Fast Delivery</v>
      </c>
      <c r="O2" s="42" t="str">
        <f>IF(AND(K2&lt;=5,J2&gt;500000),"High Priority Shipping","Standard Shipping")</f>
        <v>Standard Shipping</v>
      </c>
      <c r="P2" s="42" t="str">
        <f>IF(OR(D2="Laptop",D2="Tablet"),"Premium Product","Reguler Product")</f>
        <v>Premium Product</v>
      </c>
      <c r="Q2" s="42" t="str">
        <f>IF(NOT(I2="Consumer"),"Business Order","Consumer Order")</f>
        <v>Business Order</v>
      </c>
    </row>
    <row r="3" spans="1:17" x14ac:dyDescent="0.25">
      <c r="A3" s="4">
        <v>1002</v>
      </c>
      <c r="B3" s="4" t="s">
        <v>9</v>
      </c>
      <c r="C3" s="4" t="s">
        <v>10</v>
      </c>
      <c r="D3" s="4" t="s">
        <v>14</v>
      </c>
      <c r="E3" s="11">
        <v>415612</v>
      </c>
      <c r="F3" s="30">
        <v>0.17</v>
      </c>
      <c r="G3" s="4">
        <v>1</v>
      </c>
      <c r="H3" s="45">
        <f t="shared" ref="H3:H31" si="0">E3*G3</f>
        <v>415612</v>
      </c>
      <c r="I3" s="4" t="s">
        <v>15</v>
      </c>
      <c r="J3" s="11">
        <v>783312</v>
      </c>
      <c r="K3" s="4">
        <v>7</v>
      </c>
      <c r="L3" s="42" t="str">
        <f t="shared" ref="L3:L31" si="1">IF(G3&gt;=10,"Bulk Order","Retail")</f>
        <v>Retail</v>
      </c>
      <c r="M3" s="42" t="str">
        <f t="shared" ref="M3:M31" si="2">IF(K3&lt;=5,"Fast Delivery",IF(K3&lt;=10,"Standard Delivery","Slow Delivery"))</f>
        <v>Standard Delivery</v>
      </c>
      <c r="N3" s="43" t="str">
        <f t="shared" ref="N3:N31" si="3">_xlfn.IFS(K3&lt;=5,"Fast Delivery",K3&lt;=10,"Standard Delivery",K3&gt;10,"Slow Delivery")</f>
        <v>Standard Delivery</v>
      </c>
      <c r="O3" s="42" t="str">
        <f t="shared" ref="O3:O31" si="4">IF(AND(K3&lt;=5,J3&gt;500000),"High Priority Shipping","Standard Shipping")</f>
        <v>Standard Shipping</v>
      </c>
      <c r="P3" s="42" t="str">
        <f>IF(OR(D3="Laptop",D3="Tablet"),"Premium Product","Reguler Product")</f>
        <v>Reguler Product</v>
      </c>
      <c r="Q3" s="42" t="str">
        <f t="shared" ref="Q3:Q31" si="5">IF(NOT(I3="Consumer"),"Business Order","Consumer Order")</f>
        <v>Consumer Order</v>
      </c>
    </row>
    <row r="4" spans="1:17" x14ac:dyDescent="0.25">
      <c r="A4" s="4">
        <v>1003</v>
      </c>
      <c r="B4" s="4" t="s">
        <v>16</v>
      </c>
      <c r="C4" s="4" t="s">
        <v>17</v>
      </c>
      <c r="D4" s="4" t="s">
        <v>18</v>
      </c>
      <c r="E4" s="11">
        <v>1725042</v>
      </c>
      <c r="F4" s="30">
        <v>0.2</v>
      </c>
      <c r="G4" s="4">
        <v>17</v>
      </c>
      <c r="H4" s="45">
        <f t="shared" si="0"/>
        <v>29325714</v>
      </c>
      <c r="I4" s="4" t="s">
        <v>20</v>
      </c>
      <c r="J4" s="11">
        <v>573976</v>
      </c>
      <c r="K4" s="4">
        <v>7</v>
      </c>
      <c r="L4" s="42" t="str">
        <f t="shared" si="1"/>
        <v>Bulk Order</v>
      </c>
      <c r="M4" s="42" t="str">
        <f t="shared" si="2"/>
        <v>Standard Delivery</v>
      </c>
      <c r="N4" s="43" t="str">
        <f t="shared" si="3"/>
        <v>Standard Delivery</v>
      </c>
      <c r="O4" s="42" t="str">
        <f t="shared" si="4"/>
        <v>Standard Shipping</v>
      </c>
      <c r="P4" s="42" t="str">
        <f>IF(OR(D4="Laptop",D4="Tablet"),"Premium Product","Reguler Product")</f>
        <v>Reguler Product</v>
      </c>
      <c r="Q4" s="42" t="str">
        <f t="shared" si="5"/>
        <v>Business Order</v>
      </c>
    </row>
    <row r="5" spans="1:17" x14ac:dyDescent="0.25">
      <c r="A5" s="4">
        <v>1004</v>
      </c>
      <c r="B5" s="4" t="s">
        <v>9</v>
      </c>
      <c r="C5" s="4" t="s">
        <v>17</v>
      </c>
      <c r="D5" s="4" t="s">
        <v>11</v>
      </c>
      <c r="E5" s="11">
        <v>32495820</v>
      </c>
      <c r="F5" s="30">
        <v>0.19</v>
      </c>
      <c r="G5" s="4">
        <v>12</v>
      </c>
      <c r="H5" s="45">
        <f t="shared" si="0"/>
        <v>389949840</v>
      </c>
      <c r="I5" s="4" t="s">
        <v>20</v>
      </c>
      <c r="J5" s="11">
        <v>715388</v>
      </c>
      <c r="K5" s="4">
        <v>8</v>
      </c>
      <c r="L5" s="42" t="str">
        <f t="shared" si="1"/>
        <v>Bulk Order</v>
      </c>
      <c r="M5" s="42" t="str">
        <f t="shared" si="2"/>
        <v>Standard Delivery</v>
      </c>
      <c r="N5" s="43" t="str">
        <f t="shared" si="3"/>
        <v>Standard Delivery</v>
      </c>
      <c r="O5" s="42" t="str">
        <f t="shared" si="4"/>
        <v>Standard Shipping</v>
      </c>
      <c r="P5" s="42" t="str">
        <f>IF(OR(D5="Laptop",D5="Tablet"),"Premium Product","Reguler Product")</f>
        <v>Premium Product</v>
      </c>
      <c r="Q5" s="42" t="str">
        <f t="shared" si="5"/>
        <v>Business Order</v>
      </c>
    </row>
    <row r="6" spans="1:17" x14ac:dyDescent="0.25">
      <c r="A6" s="4">
        <v>1005</v>
      </c>
      <c r="B6" s="4" t="s">
        <v>22</v>
      </c>
      <c r="C6" s="4" t="s">
        <v>23</v>
      </c>
      <c r="D6" s="4" t="s">
        <v>24</v>
      </c>
      <c r="E6" s="11">
        <v>381259</v>
      </c>
      <c r="F6" s="30">
        <v>0.08</v>
      </c>
      <c r="G6" s="4">
        <v>9</v>
      </c>
      <c r="H6" s="45">
        <f t="shared" si="0"/>
        <v>3431331</v>
      </c>
      <c r="I6" s="4" t="s">
        <v>15</v>
      </c>
      <c r="J6" s="11">
        <v>516373</v>
      </c>
      <c r="K6" s="4">
        <v>1</v>
      </c>
      <c r="L6" s="42" t="str">
        <f t="shared" si="1"/>
        <v>Retail</v>
      </c>
      <c r="M6" s="42" t="str">
        <f t="shared" si="2"/>
        <v>Fast Delivery</v>
      </c>
      <c r="N6" s="43" t="str">
        <f t="shared" si="3"/>
        <v>Fast Delivery</v>
      </c>
      <c r="O6" s="42" t="str">
        <f t="shared" si="4"/>
        <v>High Priority Shipping</v>
      </c>
      <c r="P6" s="42" t="str">
        <f>IF(OR(D6="Laptop",D6="Tablet"),"Premium Product","Reguler Product")</f>
        <v>Reguler Product</v>
      </c>
      <c r="Q6" s="42" t="str">
        <f t="shared" si="5"/>
        <v>Consumer Order</v>
      </c>
    </row>
    <row r="7" spans="1:17" x14ac:dyDescent="0.25">
      <c r="A7" s="4">
        <v>1006</v>
      </c>
      <c r="B7" s="4" t="s">
        <v>9</v>
      </c>
      <c r="C7" s="4" t="s">
        <v>25</v>
      </c>
      <c r="D7" s="4" t="s">
        <v>26</v>
      </c>
      <c r="E7" s="11">
        <v>3517798</v>
      </c>
      <c r="F7" s="30">
        <v>0.08</v>
      </c>
      <c r="G7" s="4">
        <v>5</v>
      </c>
      <c r="H7" s="45">
        <f t="shared" si="0"/>
        <v>17588990</v>
      </c>
      <c r="I7" s="4" t="s">
        <v>13</v>
      </c>
      <c r="J7" s="11">
        <v>488560</v>
      </c>
      <c r="K7" s="4">
        <v>4</v>
      </c>
      <c r="L7" s="42" t="str">
        <f t="shared" si="1"/>
        <v>Retail</v>
      </c>
      <c r="M7" s="42" t="str">
        <f t="shared" si="2"/>
        <v>Fast Delivery</v>
      </c>
      <c r="N7" s="43" t="str">
        <f t="shared" si="3"/>
        <v>Fast Delivery</v>
      </c>
      <c r="O7" s="42" t="str">
        <f t="shared" si="4"/>
        <v>Standard Shipping</v>
      </c>
      <c r="P7" s="42" t="str">
        <f>IF(OR(D7="Laptop",D7="Tablet"),"Premium Product","Reguler Product")</f>
        <v>Premium Product</v>
      </c>
      <c r="Q7" s="42" t="str">
        <f t="shared" si="5"/>
        <v>Business Order</v>
      </c>
    </row>
    <row r="8" spans="1:17" x14ac:dyDescent="0.25">
      <c r="A8" s="4">
        <v>1007</v>
      </c>
      <c r="B8" s="4" t="s">
        <v>9</v>
      </c>
      <c r="C8" s="4" t="s">
        <v>17</v>
      </c>
      <c r="D8" s="4" t="s">
        <v>18</v>
      </c>
      <c r="E8" s="11">
        <v>4056860</v>
      </c>
      <c r="F8" s="30">
        <v>0.14000000000000001</v>
      </c>
      <c r="G8" s="4">
        <v>9</v>
      </c>
      <c r="H8" s="45">
        <f t="shared" si="0"/>
        <v>36511740</v>
      </c>
      <c r="I8" s="4" t="s">
        <v>13</v>
      </c>
      <c r="J8" s="11">
        <v>541297</v>
      </c>
      <c r="K8" s="4">
        <v>6</v>
      </c>
      <c r="L8" s="42" t="str">
        <f t="shared" si="1"/>
        <v>Retail</v>
      </c>
      <c r="M8" s="42" t="str">
        <f t="shared" si="2"/>
        <v>Standard Delivery</v>
      </c>
      <c r="N8" s="43" t="str">
        <f t="shared" si="3"/>
        <v>Standard Delivery</v>
      </c>
      <c r="O8" s="42" t="str">
        <f t="shared" si="4"/>
        <v>Standard Shipping</v>
      </c>
      <c r="P8" s="42" t="str">
        <f>IF(OR(D8="Laptop",D8="Tablet"),"Premium Product","Reguler Product")</f>
        <v>Reguler Product</v>
      </c>
      <c r="Q8" s="42" t="str">
        <f t="shared" si="5"/>
        <v>Business Order</v>
      </c>
    </row>
    <row r="9" spans="1:17" x14ac:dyDescent="0.25">
      <c r="A9" s="4">
        <v>1008</v>
      </c>
      <c r="B9" s="4" t="s">
        <v>16</v>
      </c>
      <c r="C9" s="4" t="s">
        <v>17</v>
      </c>
      <c r="D9" s="4" t="s">
        <v>28</v>
      </c>
      <c r="E9" s="11">
        <v>9154155</v>
      </c>
      <c r="F9" s="30">
        <v>0.2</v>
      </c>
      <c r="G9" s="4">
        <v>12</v>
      </c>
      <c r="H9" s="45">
        <f t="shared" si="0"/>
        <v>109849860</v>
      </c>
      <c r="I9" s="4" t="s">
        <v>15</v>
      </c>
      <c r="J9" s="11">
        <v>568288</v>
      </c>
      <c r="K9" s="4">
        <v>7</v>
      </c>
      <c r="L9" s="42" t="str">
        <f t="shared" si="1"/>
        <v>Bulk Order</v>
      </c>
      <c r="M9" s="42" t="str">
        <f t="shared" si="2"/>
        <v>Standard Delivery</v>
      </c>
      <c r="N9" s="43" t="str">
        <f t="shared" si="3"/>
        <v>Standard Delivery</v>
      </c>
      <c r="O9" s="42" t="str">
        <f t="shared" si="4"/>
        <v>Standard Shipping</v>
      </c>
      <c r="P9" s="42" t="str">
        <f>IF(OR(D9="Laptop",D9="Tablet"),"Premium Product","Reguler Product")</f>
        <v>Reguler Product</v>
      </c>
      <c r="Q9" s="42" t="str">
        <f t="shared" si="5"/>
        <v>Consumer Order</v>
      </c>
    </row>
    <row r="10" spans="1:17" x14ac:dyDescent="0.25">
      <c r="A10" s="4">
        <v>1009</v>
      </c>
      <c r="B10" s="4" t="s">
        <v>29</v>
      </c>
      <c r="C10" s="4" t="s">
        <v>17</v>
      </c>
      <c r="D10" s="4" t="s">
        <v>30</v>
      </c>
      <c r="E10" s="11">
        <v>4734466</v>
      </c>
      <c r="F10" s="30">
        <v>0.16</v>
      </c>
      <c r="G10" s="4">
        <v>16</v>
      </c>
      <c r="H10" s="45">
        <f t="shared" si="0"/>
        <v>75751456</v>
      </c>
      <c r="I10" s="4" t="s">
        <v>15</v>
      </c>
      <c r="J10" s="11">
        <v>652076</v>
      </c>
      <c r="K10" s="4">
        <v>13</v>
      </c>
      <c r="L10" s="42" t="str">
        <f t="shared" si="1"/>
        <v>Bulk Order</v>
      </c>
      <c r="M10" s="42" t="str">
        <f t="shared" si="2"/>
        <v>Slow Delivery</v>
      </c>
      <c r="N10" s="43" t="str">
        <f t="shared" si="3"/>
        <v>Slow Delivery</v>
      </c>
      <c r="O10" s="42" t="str">
        <f t="shared" si="4"/>
        <v>Standard Shipping</v>
      </c>
      <c r="P10" s="42" t="str">
        <f>IF(OR(D10="Laptop",D10="Tablet"),"Premium Product","Reguler Product")</f>
        <v>Reguler Product</v>
      </c>
      <c r="Q10" s="42" t="str">
        <f t="shared" si="5"/>
        <v>Consumer Order</v>
      </c>
    </row>
    <row r="11" spans="1:17" x14ac:dyDescent="0.25">
      <c r="A11" s="4">
        <v>1010</v>
      </c>
      <c r="B11" s="4" t="s">
        <v>31</v>
      </c>
      <c r="C11" s="4" t="s">
        <v>17</v>
      </c>
      <c r="D11" s="4" t="s">
        <v>24</v>
      </c>
      <c r="E11" s="11">
        <v>235319</v>
      </c>
      <c r="F11" s="30">
        <v>0.14000000000000001</v>
      </c>
      <c r="G11" s="4">
        <v>20</v>
      </c>
      <c r="H11" s="45">
        <f t="shared" si="0"/>
        <v>4706380</v>
      </c>
      <c r="I11" s="4" t="s">
        <v>13</v>
      </c>
      <c r="J11" s="11">
        <v>394800</v>
      </c>
      <c r="K11" s="4">
        <v>2</v>
      </c>
      <c r="L11" s="42" t="str">
        <f t="shared" si="1"/>
        <v>Bulk Order</v>
      </c>
      <c r="M11" s="42" t="str">
        <f t="shared" si="2"/>
        <v>Fast Delivery</v>
      </c>
      <c r="N11" s="43" t="str">
        <f t="shared" si="3"/>
        <v>Fast Delivery</v>
      </c>
      <c r="O11" s="42" t="str">
        <f t="shared" si="4"/>
        <v>Standard Shipping</v>
      </c>
      <c r="P11" s="42" t="str">
        <f>IF(OR(D11="Laptop",D11="Tablet"),"Premium Product","Reguler Product")</f>
        <v>Reguler Product</v>
      </c>
      <c r="Q11" s="42" t="str">
        <f t="shared" si="5"/>
        <v>Business Order</v>
      </c>
    </row>
    <row r="12" spans="1:17" x14ac:dyDescent="0.25">
      <c r="A12" s="4">
        <v>1011</v>
      </c>
      <c r="B12" s="4" t="s">
        <v>29</v>
      </c>
      <c r="C12" s="4" t="s">
        <v>23</v>
      </c>
      <c r="D12" s="4" t="s">
        <v>26</v>
      </c>
      <c r="E12" s="11">
        <v>14931496</v>
      </c>
      <c r="F12" s="30">
        <v>0.11</v>
      </c>
      <c r="G12" s="4">
        <v>14</v>
      </c>
      <c r="H12" s="45">
        <f t="shared" si="0"/>
        <v>209040944</v>
      </c>
      <c r="I12" s="4" t="s">
        <v>20</v>
      </c>
      <c r="J12" s="11">
        <v>660012</v>
      </c>
      <c r="K12" s="4">
        <v>4</v>
      </c>
      <c r="L12" s="42" t="str">
        <f t="shared" si="1"/>
        <v>Bulk Order</v>
      </c>
      <c r="M12" s="42" t="str">
        <f t="shared" si="2"/>
        <v>Fast Delivery</v>
      </c>
      <c r="N12" s="43" t="str">
        <f t="shared" si="3"/>
        <v>Fast Delivery</v>
      </c>
      <c r="O12" s="42" t="str">
        <f t="shared" si="4"/>
        <v>High Priority Shipping</v>
      </c>
      <c r="P12" s="42" t="str">
        <f>IF(OR(D12="Laptop",D12="Tablet"),"Premium Product","Reguler Product")</f>
        <v>Premium Product</v>
      </c>
      <c r="Q12" s="42" t="str">
        <f t="shared" si="5"/>
        <v>Business Order</v>
      </c>
    </row>
    <row r="13" spans="1:17" x14ac:dyDescent="0.25">
      <c r="A13" s="4">
        <v>1012</v>
      </c>
      <c r="B13" s="4" t="s">
        <v>31</v>
      </c>
      <c r="C13" s="4" t="s">
        <v>23</v>
      </c>
      <c r="D13" s="4" t="s">
        <v>24</v>
      </c>
      <c r="E13" s="11">
        <v>265689</v>
      </c>
      <c r="F13" s="30">
        <v>0.08</v>
      </c>
      <c r="G13" s="4">
        <v>9</v>
      </c>
      <c r="H13" s="45">
        <f t="shared" si="0"/>
        <v>2391201</v>
      </c>
      <c r="I13" s="4" t="s">
        <v>20</v>
      </c>
      <c r="J13" s="11">
        <v>609492</v>
      </c>
      <c r="K13" s="4">
        <v>3</v>
      </c>
      <c r="L13" s="42" t="str">
        <f t="shared" si="1"/>
        <v>Retail</v>
      </c>
      <c r="M13" s="42" t="str">
        <f t="shared" si="2"/>
        <v>Fast Delivery</v>
      </c>
      <c r="N13" s="43" t="str">
        <f t="shared" si="3"/>
        <v>Fast Delivery</v>
      </c>
      <c r="O13" s="42" t="str">
        <f t="shared" si="4"/>
        <v>High Priority Shipping</v>
      </c>
      <c r="P13" s="42" t="str">
        <f>IF(OR(D13="Laptop",D13="Tablet"),"Premium Product","Reguler Product")</f>
        <v>Reguler Product</v>
      </c>
      <c r="Q13" s="42" t="str">
        <f t="shared" si="5"/>
        <v>Business Order</v>
      </c>
    </row>
    <row r="14" spans="1:17" x14ac:dyDescent="0.25">
      <c r="A14" s="4">
        <v>1013</v>
      </c>
      <c r="B14" s="4" t="s">
        <v>16</v>
      </c>
      <c r="C14" s="4" t="s">
        <v>17</v>
      </c>
      <c r="D14" s="4" t="s">
        <v>32</v>
      </c>
      <c r="E14" s="11">
        <v>5190626</v>
      </c>
      <c r="F14" s="30">
        <v>7.0000000000000007E-2</v>
      </c>
      <c r="G14" s="4">
        <v>18</v>
      </c>
      <c r="H14" s="45">
        <f t="shared" si="0"/>
        <v>93431268</v>
      </c>
      <c r="I14" s="4" t="s">
        <v>15</v>
      </c>
      <c r="J14" s="11">
        <v>323779</v>
      </c>
      <c r="K14" s="4">
        <v>14</v>
      </c>
      <c r="L14" s="42" t="str">
        <f t="shared" si="1"/>
        <v>Bulk Order</v>
      </c>
      <c r="M14" s="42" t="str">
        <f t="shared" si="2"/>
        <v>Slow Delivery</v>
      </c>
      <c r="N14" s="43" t="str">
        <f t="shared" si="3"/>
        <v>Slow Delivery</v>
      </c>
      <c r="O14" s="42" t="str">
        <f t="shared" si="4"/>
        <v>Standard Shipping</v>
      </c>
      <c r="P14" s="42" t="str">
        <f>IF(OR(D14="Laptop",D14="Tablet"),"Premium Product","Reguler Product")</f>
        <v>Reguler Product</v>
      </c>
      <c r="Q14" s="42" t="str">
        <f t="shared" si="5"/>
        <v>Consumer Order</v>
      </c>
    </row>
    <row r="15" spans="1:17" x14ac:dyDescent="0.25">
      <c r="A15" s="4">
        <v>1014</v>
      </c>
      <c r="B15" s="4" t="s">
        <v>29</v>
      </c>
      <c r="C15" s="4" t="s">
        <v>17</v>
      </c>
      <c r="D15" s="4" t="s">
        <v>18</v>
      </c>
      <c r="E15" s="11">
        <v>896833</v>
      </c>
      <c r="F15" s="30">
        <v>0.13</v>
      </c>
      <c r="G15" s="4">
        <v>11</v>
      </c>
      <c r="H15" s="45">
        <f t="shared" si="0"/>
        <v>9865163</v>
      </c>
      <c r="I15" s="4" t="s">
        <v>13</v>
      </c>
      <c r="J15" s="11">
        <v>810685</v>
      </c>
      <c r="K15" s="4">
        <v>5</v>
      </c>
      <c r="L15" s="42" t="str">
        <f t="shared" si="1"/>
        <v>Bulk Order</v>
      </c>
      <c r="M15" s="42" t="str">
        <f t="shared" si="2"/>
        <v>Fast Delivery</v>
      </c>
      <c r="N15" s="43" t="str">
        <f t="shared" si="3"/>
        <v>Fast Delivery</v>
      </c>
      <c r="O15" s="42" t="str">
        <f t="shared" si="4"/>
        <v>High Priority Shipping</v>
      </c>
      <c r="P15" s="42" t="str">
        <f>IF(OR(D15="Laptop",D15="Tablet"),"Premium Product","Reguler Product")</f>
        <v>Reguler Product</v>
      </c>
      <c r="Q15" s="42" t="str">
        <f t="shared" si="5"/>
        <v>Business Order</v>
      </c>
    </row>
    <row r="16" spans="1:17" x14ac:dyDescent="0.25">
      <c r="A16" s="4">
        <v>1015</v>
      </c>
      <c r="B16" s="4" t="s">
        <v>16</v>
      </c>
      <c r="C16" s="4" t="s">
        <v>23</v>
      </c>
      <c r="D16" s="4" t="s">
        <v>14</v>
      </c>
      <c r="E16" s="11">
        <v>384978</v>
      </c>
      <c r="F16" s="30">
        <v>0.18</v>
      </c>
      <c r="G16" s="4">
        <v>14</v>
      </c>
      <c r="H16" s="45">
        <f t="shared" si="0"/>
        <v>5389692</v>
      </c>
      <c r="I16" s="4" t="s">
        <v>20</v>
      </c>
      <c r="J16" s="11">
        <v>278811</v>
      </c>
      <c r="K16" s="4">
        <v>4</v>
      </c>
      <c r="L16" s="42" t="str">
        <f t="shared" si="1"/>
        <v>Bulk Order</v>
      </c>
      <c r="M16" s="42" t="str">
        <f t="shared" si="2"/>
        <v>Fast Delivery</v>
      </c>
      <c r="N16" s="43" t="str">
        <f t="shared" si="3"/>
        <v>Fast Delivery</v>
      </c>
      <c r="O16" s="42" t="str">
        <f t="shared" si="4"/>
        <v>Standard Shipping</v>
      </c>
      <c r="P16" s="42" t="str">
        <f>IF(OR(D16="Laptop",D16="Tablet"),"Premium Product","Reguler Product")</f>
        <v>Reguler Product</v>
      </c>
      <c r="Q16" s="42" t="str">
        <f t="shared" si="5"/>
        <v>Business Order</v>
      </c>
    </row>
    <row r="17" spans="1:17" x14ac:dyDescent="0.25">
      <c r="A17" s="4">
        <v>1016</v>
      </c>
      <c r="B17" s="4" t="s">
        <v>16</v>
      </c>
      <c r="C17" s="4" t="s">
        <v>10</v>
      </c>
      <c r="D17" s="4" t="s">
        <v>33</v>
      </c>
      <c r="E17" s="11">
        <v>4123619</v>
      </c>
      <c r="F17" s="30">
        <v>0.08</v>
      </c>
      <c r="G17" s="4">
        <v>8</v>
      </c>
      <c r="H17" s="45">
        <f t="shared" si="0"/>
        <v>32988952</v>
      </c>
      <c r="I17" s="4" t="s">
        <v>20</v>
      </c>
      <c r="J17" s="11">
        <v>453188</v>
      </c>
      <c r="K17" s="4">
        <v>12</v>
      </c>
      <c r="L17" s="42" t="str">
        <f t="shared" si="1"/>
        <v>Retail</v>
      </c>
      <c r="M17" s="42" t="str">
        <f t="shared" si="2"/>
        <v>Slow Delivery</v>
      </c>
      <c r="N17" s="43" t="str">
        <f t="shared" si="3"/>
        <v>Slow Delivery</v>
      </c>
      <c r="O17" s="42" t="str">
        <f t="shared" si="4"/>
        <v>Standard Shipping</v>
      </c>
      <c r="P17" s="42" t="str">
        <f>IF(OR(D17="Laptop",D17="Tablet"),"Premium Product","Reguler Product")</f>
        <v>Reguler Product</v>
      </c>
      <c r="Q17" s="42" t="str">
        <f t="shared" si="5"/>
        <v>Business Order</v>
      </c>
    </row>
    <row r="18" spans="1:17" x14ac:dyDescent="0.25">
      <c r="A18" s="4">
        <v>1017</v>
      </c>
      <c r="B18" s="4" t="s">
        <v>22</v>
      </c>
      <c r="C18" s="4" t="s">
        <v>25</v>
      </c>
      <c r="D18" s="4" t="s">
        <v>30</v>
      </c>
      <c r="E18" s="11">
        <v>1460409</v>
      </c>
      <c r="F18" s="30">
        <v>0.19</v>
      </c>
      <c r="G18" s="4">
        <v>2</v>
      </c>
      <c r="H18" s="45">
        <f t="shared" si="0"/>
        <v>2920818</v>
      </c>
      <c r="I18" s="4" t="s">
        <v>20</v>
      </c>
      <c r="J18" s="11">
        <v>419274</v>
      </c>
      <c r="K18" s="4">
        <v>4</v>
      </c>
      <c r="L18" s="42" t="str">
        <f t="shared" si="1"/>
        <v>Retail</v>
      </c>
      <c r="M18" s="42" t="str">
        <f t="shared" si="2"/>
        <v>Fast Delivery</v>
      </c>
      <c r="N18" s="43" t="str">
        <f t="shared" si="3"/>
        <v>Fast Delivery</v>
      </c>
      <c r="O18" s="42" t="str">
        <f t="shared" si="4"/>
        <v>Standard Shipping</v>
      </c>
      <c r="P18" s="42" t="str">
        <f>IF(OR(D18="Laptop",D18="Tablet"),"Premium Product","Reguler Product")</f>
        <v>Reguler Product</v>
      </c>
      <c r="Q18" s="42" t="str">
        <f t="shared" si="5"/>
        <v>Business Order</v>
      </c>
    </row>
    <row r="19" spans="1:17" x14ac:dyDescent="0.25">
      <c r="A19" s="4">
        <v>1018</v>
      </c>
      <c r="B19" s="4" t="s">
        <v>9</v>
      </c>
      <c r="C19" s="4" t="s">
        <v>25</v>
      </c>
      <c r="D19" s="4" t="s">
        <v>11</v>
      </c>
      <c r="E19" s="11">
        <v>21042743</v>
      </c>
      <c r="F19" s="30">
        <v>0.11</v>
      </c>
      <c r="G19" s="4">
        <v>18</v>
      </c>
      <c r="H19" s="45">
        <f t="shared" si="0"/>
        <v>378769374</v>
      </c>
      <c r="I19" s="4" t="s">
        <v>13</v>
      </c>
      <c r="J19" s="11">
        <v>355153</v>
      </c>
      <c r="K19" s="4">
        <v>4</v>
      </c>
      <c r="L19" s="42" t="str">
        <f t="shared" si="1"/>
        <v>Bulk Order</v>
      </c>
      <c r="M19" s="42" t="str">
        <f t="shared" si="2"/>
        <v>Fast Delivery</v>
      </c>
      <c r="N19" s="43" t="str">
        <f t="shared" si="3"/>
        <v>Fast Delivery</v>
      </c>
      <c r="O19" s="42" t="str">
        <f t="shared" si="4"/>
        <v>Standard Shipping</v>
      </c>
      <c r="P19" s="42" t="str">
        <f>IF(OR(D19="Laptop",D19="Tablet"),"Premium Product","Reguler Product")</f>
        <v>Premium Product</v>
      </c>
      <c r="Q19" s="42" t="str">
        <f t="shared" si="5"/>
        <v>Business Order</v>
      </c>
    </row>
    <row r="20" spans="1:17" x14ac:dyDescent="0.25">
      <c r="A20" s="4">
        <v>1019</v>
      </c>
      <c r="B20" s="4" t="s">
        <v>31</v>
      </c>
      <c r="C20" s="4" t="s">
        <v>23</v>
      </c>
      <c r="D20" s="4" t="s">
        <v>34</v>
      </c>
      <c r="E20" s="11">
        <v>2080084</v>
      </c>
      <c r="F20" s="30">
        <v>0.13</v>
      </c>
      <c r="G20" s="4">
        <v>10</v>
      </c>
      <c r="H20" s="45">
        <f t="shared" si="0"/>
        <v>20800840</v>
      </c>
      <c r="I20" s="4" t="s">
        <v>13</v>
      </c>
      <c r="J20" s="11">
        <v>974303</v>
      </c>
      <c r="K20" s="4">
        <v>8</v>
      </c>
      <c r="L20" s="42" t="str">
        <f t="shared" si="1"/>
        <v>Bulk Order</v>
      </c>
      <c r="M20" s="42" t="str">
        <f t="shared" si="2"/>
        <v>Standard Delivery</v>
      </c>
      <c r="N20" s="43" t="str">
        <f t="shared" si="3"/>
        <v>Standard Delivery</v>
      </c>
      <c r="O20" s="42" t="str">
        <f t="shared" si="4"/>
        <v>Standard Shipping</v>
      </c>
      <c r="P20" s="42" t="str">
        <f>IF(OR(D20="Laptop",D20="Tablet"),"Premium Product","Reguler Product")</f>
        <v>Reguler Product</v>
      </c>
      <c r="Q20" s="42" t="str">
        <f t="shared" si="5"/>
        <v>Business Order</v>
      </c>
    </row>
    <row r="21" spans="1:17" x14ac:dyDescent="0.25">
      <c r="A21" s="4">
        <v>1020</v>
      </c>
      <c r="B21" s="4" t="s">
        <v>29</v>
      </c>
      <c r="C21" s="4" t="s">
        <v>25</v>
      </c>
      <c r="D21" s="4" t="s">
        <v>14</v>
      </c>
      <c r="E21" s="11">
        <v>348044</v>
      </c>
      <c r="F21" s="30">
        <v>0.06</v>
      </c>
      <c r="G21" s="4">
        <v>1</v>
      </c>
      <c r="H21" s="45">
        <f t="shared" si="0"/>
        <v>348044</v>
      </c>
      <c r="I21" s="4" t="s">
        <v>15</v>
      </c>
      <c r="J21" s="11">
        <v>303630</v>
      </c>
      <c r="K21" s="4">
        <v>4</v>
      </c>
      <c r="L21" s="42" t="str">
        <f t="shared" si="1"/>
        <v>Retail</v>
      </c>
      <c r="M21" s="42" t="str">
        <f t="shared" si="2"/>
        <v>Fast Delivery</v>
      </c>
      <c r="N21" s="43" t="str">
        <f t="shared" si="3"/>
        <v>Fast Delivery</v>
      </c>
      <c r="O21" s="42" t="str">
        <f t="shared" si="4"/>
        <v>Standard Shipping</v>
      </c>
      <c r="P21" s="42" t="str">
        <f>IF(OR(D21="Laptop",D21="Tablet"),"Premium Product","Reguler Product")</f>
        <v>Reguler Product</v>
      </c>
      <c r="Q21" s="42" t="str">
        <f t="shared" si="5"/>
        <v>Consumer Order</v>
      </c>
    </row>
    <row r="22" spans="1:17" x14ac:dyDescent="0.25">
      <c r="A22" s="4">
        <v>1021</v>
      </c>
      <c r="B22" s="4" t="s">
        <v>9</v>
      </c>
      <c r="C22" s="4" t="s">
        <v>23</v>
      </c>
      <c r="D22" s="4" t="s">
        <v>11</v>
      </c>
      <c r="E22" s="11">
        <v>20434309</v>
      </c>
      <c r="F22" s="30">
        <v>0.17</v>
      </c>
      <c r="G22" s="4">
        <v>8</v>
      </c>
      <c r="H22" s="45">
        <f t="shared" si="0"/>
        <v>163474472</v>
      </c>
      <c r="I22" s="4" t="s">
        <v>20</v>
      </c>
      <c r="J22" s="11">
        <v>463882</v>
      </c>
      <c r="K22" s="4">
        <v>9</v>
      </c>
      <c r="L22" s="42" t="str">
        <f t="shared" si="1"/>
        <v>Retail</v>
      </c>
      <c r="M22" s="42" t="str">
        <f t="shared" si="2"/>
        <v>Standard Delivery</v>
      </c>
      <c r="N22" s="43" t="str">
        <f t="shared" si="3"/>
        <v>Standard Delivery</v>
      </c>
      <c r="O22" s="42" t="str">
        <f t="shared" si="4"/>
        <v>Standard Shipping</v>
      </c>
      <c r="P22" s="42" t="str">
        <f>IF(OR(D22="Laptop",D22="Tablet"),"Premium Product","Reguler Product")</f>
        <v>Premium Product</v>
      </c>
      <c r="Q22" s="42" t="str">
        <f t="shared" si="5"/>
        <v>Business Order</v>
      </c>
    </row>
    <row r="23" spans="1:17" x14ac:dyDescent="0.25">
      <c r="A23" s="4">
        <v>1022</v>
      </c>
      <c r="B23" s="4" t="s">
        <v>29</v>
      </c>
      <c r="C23" s="4" t="s">
        <v>25</v>
      </c>
      <c r="D23" s="4" t="s">
        <v>26</v>
      </c>
      <c r="E23" s="11">
        <v>11516290</v>
      </c>
      <c r="F23" s="30">
        <v>0.05</v>
      </c>
      <c r="G23" s="4">
        <v>8</v>
      </c>
      <c r="H23" s="45">
        <f t="shared" si="0"/>
        <v>92130320</v>
      </c>
      <c r="I23" s="4" t="s">
        <v>15</v>
      </c>
      <c r="J23" s="11">
        <v>533058</v>
      </c>
      <c r="K23" s="4">
        <v>5</v>
      </c>
      <c r="L23" s="42" t="str">
        <f t="shared" si="1"/>
        <v>Retail</v>
      </c>
      <c r="M23" s="42" t="str">
        <f t="shared" si="2"/>
        <v>Fast Delivery</v>
      </c>
      <c r="N23" s="43" t="str">
        <f t="shared" si="3"/>
        <v>Fast Delivery</v>
      </c>
      <c r="O23" s="42" t="str">
        <f t="shared" si="4"/>
        <v>High Priority Shipping</v>
      </c>
      <c r="P23" s="42" t="str">
        <f>IF(OR(D23="Laptop",D23="Tablet"),"Premium Product","Reguler Product")</f>
        <v>Premium Product</v>
      </c>
      <c r="Q23" s="42" t="str">
        <f t="shared" si="5"/>
        <v>Consumer Order</v>
      </c>
    </row>
    <row r="24" spans="1:17" x14ac:dyDescent="0.25">
      <c r="A24" s="4">
        <v>1023</v>
      </c>
      <c r="B24" s="4" t="s">
        <v>29</v>
      </c>
      <c r="C24" s="4" t="s">
        <v>23</v>
      </c>
      <c r="D24" s="4" t="s">
        <v>26</v>
      </c>
      <c r="E24" s="11">
        <v>3654025</v>
      </c>
      <c r="F24" s="30">
        <v>0.14000000000000001</v>
      </c>
      <c r="G24" s="4">
        <v>10</v>
      </c>
      <c r="H24" s="45">
        <f t="shared" si="0"/>
        <v>36540250</v>
      </c>
      <c r="I24" s="4" t="s">
        <v>15</v>
      </c>
      <c r="J24" s="11">
        <v>463127</v>
      </c>
      <c r="K24" s="4">
        <v>12</v>
      </c>
      <c r="L24" s="42" t="str">
        <f t="shared" si="1"/>
        <v>Bulk Order</v>
      </c>
      <c r="M24" s="42" t="str">
        <f t="shared" si="2"/>
        <v>Slow Delivery</v>
      </c>
      <c r="N24" s="43" t="str">
        <f t="shared" si="3"/>
        <v>Slow Delivery</v>
      </c>
      <c r="O24" s="42" t="str">
        <f t="shared" si="4"/>
        <v>Standard Shipping</v>
      </c>
      <c r="P24" s="42" t="str">
        <f>IF(OR(D24="Laptop",D24="Tablet"),"Premium Product","Reguler Product")</f>
        <v>Premium Product</v>
      </c>
      <c r="Q24" s="42" t="str">
        <f t="shared" si="5"/>
        <v>Consumer Order</v>
      </c>
    </row>
    <row r="25" spans="1:17" x14ac:dyDescent="0.25">
      <c r="A25" s="4">
        <v>1024</v>
      </c>
      <c r="B25" s="4" t="s">
        <v>9</v>
      </c>
      <c r="C25" s="4" t="s">
        <v>17</v>
      </c>
      <c r="D25" s="4" t="s">
        <v>24</v>
      </c>
      <c r="E25" s="11">
        <v>430932</v>
      </c>
      <c r="F25" s="30">
        <v>0.2</v>
      </c>
      <c r="G25" s="4">
        <v>14</v>
      </c>
      <c r="H25" s="45">
        <f t="shared" si="0"/>
        <v>6033048</v>
      </c>
      <c r="I25" s="4" t="s">
        <v>15</v>
      </c>
      <c r="J25" s="11">
        <v>736463</v>
      </c>
      <c r="K25" s="4">
        <v>3</v>
      </c>
      <c r="L25" s="42" t="str">
        <f t="shared" si="1"/>
        <v>Bulk Order</v>
      </c>
      <c r="M25" s="42" t="str">
        <f t="shared" si="2"/>
        <v>Fast Delivery</v>
      </c>
      <c r="N25" s="43" t="str">
        <f t="shared" si="3"/>
        <v>Fast Delivery</v>
      </c>
      <c r="O25" s="42" t="str">
        <f t="shared" si="4"/>
        <v>High Priority Shipping</v>
      </c>
      <c r="P25" s="42" t="str">
        <f>IF(OR(D25="Laptop",D25="Tablet"),"Premium Product","Reguler Product")</f>
        <v>Reguler Product</v>
      </c>
      <c r="Q25" s="42" t="str">
        <f t="shared" si="5"/>
        <v>Consumer Order</v>
      </c>
    </row>
    <row r="26" spans="1:17" x14ac:dyDescent="0.25">
      <c r="A26" s="4">
        <v>1025</v>
      </c>
      <c r="B26" s="4" t="s">
        <v>9</v>
      </c>
      <c r="C26" s="4" t="s">
        <v>25</v>
      </c>
      <c r="D26" s="4" t="s">
        <v>28</v>
      </c>
      <c r="E26" s="11">
        <v>3965112</v>
      </c>
      <c r="F26" s="30">
        <v>0.13</v>
      </c>
      <c r="G26" s="4">
        <v>3</v>
      </c>
      <c r="H26" s="45">
        <f t="shared" si="0"/>
        <v>11895336</v>
      </c>
      <c r="I26" s="4" t="s">
        <v>20</v>
      </c>
      <c r="J26" s="11">
        <v>688804</v>
      </c>
      <c r="K26" s="4">
        <v>10</v>
      </c>
      <c r="L26" s="42" t="str">
        <f t="shared" si="1"/>
        <v>Retail</v>
      </c>
      <c r="M26" s="42" t="str">
        <f t="shared" si="2"/>
        <v>Standard Delivery</v>
      </c>
      <c r="N26" s="43" t="str">
        <f t="shared" si="3"/>
        <v>Standard Delivery</v>
      </c>
      <c r="O26" s="42" t="str">
        <f t="shared" si="4"/>
        <v>Standard Shipping</v>
      </c>
      <c r="P26" s="42" t="str">
        <f>IF(OR(D26="Laptop",D26="Tablet"),"Premium Product","Reguler Product")</f>
        <v>Reguler Product</v>
      </c>
      <c r="Q26" s="42" t="str">
        <f t="shared" si="5"/>
        <v>Business Order</v>
      </c>
    </row>
    <row r="27" spans="1:17" x14ac:dyDescent="0.25">
      <c r="A27" s="4">
        <v>1026</v>
      </c>
      <c r="B27" s="4" t="s">
        <v>9</v>
      </c>
      <c r="C27" s="4" t="s">
        <v>23</v>
      </c>
      <c r="D27" s="4" t="s">
        <v>11</v>
      </c>
      <c r="E27" s="11">
        <v>23852742</v>
      </c>
      <c r="F27" s="30">
        <v>0.14000000000000001</v>
      </c>
      <c r="G27" s="4">
        <v>6</v>
      </c>
      <c r="H27" s="45">
        <f t="shared" si="0"/>
        <v>143116452</v>
      </c>
      <c r="I27" s="4" t="s">
        <v>15</v>
      </c>
      <c r="J27" s="11">
        <v>168814</v>
      </c>
      <c r="K27" s="4">
        <v>3</v>
      </c>
      <c r="L27" s="42" t="str">
        <f t="shared" si="1"/>
        <v>Retail</v>
      </c>
      <c r="M27" s="42" t="str">
        <f t="shared" si="2"/>
        <v>Fast Delivery</v>
      </c>
      <c r="N27" s="43" t="str">
        <f t="shared" si="3"/>
        <v>Fast Delivery</v>
      </c>
      <c r="O27" s="42" t="str">
        <f t="shared" si="4"/>
        <v>Standard Shipping</v>
      </c>
      <c r="P27" s="42" t="str">
        <f>IF(OR(D27="Laptop",D27="Tablet"),"Premium Product","Reguler Product")</f>
        <v>Premium Product</v>
      </c>
      <c r="Q27" s="42" t="str">
        <f t="shared" si="5"/>
        <v>Consumer Order</v>
      </c>
    </row>
    <row r="28" spans="1:17" x14ac:dyDescent="0.25">
      <c r="A28" s="4">
        <v>1027</v>
      </c>
      <c r="B28" s="4" t="s">
        <v>31</v>
      </c>
      <c r="C28" s="4" t="s">
        <v>17</v>
      </c>
      <c r="D28" s="4" t="s">
        <v>30</v>
      </c>
      <c r="E28" s="11">
        <v>4319916</v>
      </c>
      <c r="F28" s="30">
        <v>0.19</v>
      </c>
      <c r="G28" s="4">
        <v>3</v>
      </c>
      <c r="H28" s="45">
        <f t="shared" si="0"/>
        <v>12959748</v>
      </c>
      <c r="I28" s="4" t="s">
        <v>13</v>
      </c>
      <c r="J28" s="11">
        <v>374508</v>
      </c>
      <c r="K28" s="4">
        <v>13</v>
      </c>
      <c r="L28" s="42" t="str">
        <f t="shared" si="1"/>
        <v>Retail</v>
      </c>
      <c r="M28" s="42" t="str">
        <f t="shared" si="2"/>
        <v>Slow Delivery</v>
      </c>
      <c r="N28" s="43" t="str">
        <f t="shared" si="3"/>
        <v>Slow Delivery</v>
      </c>
      <c r="O28" s="42" t="str">
        <f t="shared" si="4"/>
        <v>Standard Shipping</v>
      </c>
      <c r="P28" s="42" t="str">
        <f>IF(OR(D28="Laptop",D28="Tablet"),"Premium Product","Reguler Product")</f>
        <v>Reguler Product</v>
      </c>
      <c r="Q28" s="42" t="str">
        <f t="shared" si="5"/>
        <v>Business Order</v>
      </c>
    </row>
    <row r="29" spans="1:17" x14ac:dyDescent="0.25">
      <c r="A29" s="4">
        <v>1028</v>
      </c>
      <c r="B29" s="4" t="s">
        <v>16</v>
      </c>
      <c r="C29" s="4" t="s">
        <v>23</v>
      </c>
      <c r="D29" s="4" t="s">
        <v>14</v>
      </c>
      <c r="E29" s="11">
        <v>123832</v>
      </c>
      <c r="F29" s="30">
        <v>0.05</v>
      </c>
      <c r="G29" s="4">
        <v>3</v>
      </c>
      <c r="H29" s="45">
        <f t="shared" si="0"/>
        <v>371496</v>
      </c>
      <c r="I29" s="4" t="s">
        <v>20</v>
      </c>
      <c r="J29" s="11">
        <v>604795</v>
      </c>
      <c r="K29" s="4">
        <v>12</v>
      </c>
      <c r="L29" s="42" t="str">
        <f t="shared" si="1"/>
        <v>Retail</v>
      </c>
      <c r="M29" s="42" t="str">
        <f t="shared" si="2"/>
        <v>Slow Delivery</v>
      </c>
      <c r="N29" s="43" t="str">
        <f t="shared" si="3"/>
        <v>Slow Delivery</v>
      </c>
      <c r="O29" s="42" t="str">
        <f t="shared" si="4"/>
        <v>Standard Shipping</v>
      </c>
      <c r="P29" s="42" t="str">
        <f>IF(OR(D29="Laptop",D29="Tablet"),"Premium Product","Reguler Product")</f>
        <v>Reguler Product</v>
      </c>
      <c r="Q29" s="42" t="str">
        <f t="shared" si="5"/>
        <v>Business Order</v>
      </c>
    </row>
    <row r="30" spans="1:17" x14ac:dyDescent="0.25">
      <c r="A30" s="4">
        <v>1029</v>
      </c>
      <c r="B30" s="4" t="s">
        <v>9</v>
      </c>
      <c r="C30" s="4" t="s">
        <v>17</v>
      </c>
      <c r="D30" s="4" t="s">
        <v>26</v>
      </c>
      <c r="E30" s="11">
        <v>3332219</v>
      </c>
      <c r="F30" s="30">
        <v>0.06</v>
      </c>
      <c r="G30" s="4">
        <v>6</v>
      </c>
      <c r="H30" s="45">
        <f t="shared" si="0"/>
        <v>19993314</v>
      </c>
      <c r="I30" s="4" t="s">
        <v>15</v>
      </c>
      <c r="J30" s="11">
        <v>172802</v>
      </c>
      <c r="K30" s="4">
        <v>7</v>
      </c>
      <c r="L30" s="42" t="str">
        <f t="shared" si="1"/>
        <v>Retail</v>
      </c>
      <c r="M30" s="42" t="str">
        <f t="shared" si="2"/>
        <v>Standard Delivery</v>
      </c>
      <c r="N30" s="43" t="str">
        <f t="shared" si="3"/>
        <v>Standard Delivery</v>
      </c>
      <c r="O30" s="42" t="str">
        <f t="shared" si="4"/>
        <v>Standard Shipping</v>
      </c>
      <c r="P30" s="42" t="str">
        <f>IF(OR(D30="Laptop",D30="Tablet"),"Premium Product","Reguler Product")</f>
        <v>Premium Product</v>
      </c>
      <c r="Q30" s="42" t="str">
        <f t="shared" si="5"/>
        <v>Consumer Order</v>
      </c>
    </row>
    <row r="31" spans="1:17" x14ac:dyDescent="0.25">
      <c r="A31" s="4">
        <v>1030</v>
      </c>
      <c r="B31" s="4" t="s">
        <v>31</v>
      </c>
      <c r="C31" s="4" t="s">
        <v>25</v>
      </c>
      <c r="D31" s="4" t="s">
        <v>34</v>
      </c>
      <c r="E31" s="11">
        <v>1622550</v>
      </c>
      <c r="F31" s="30">
        <v>0.15</v>
      </c>
      <c r="G31" s="4">
        <v>14</v>
      </c>
      <c r="H31" s="45">
        <f t="shared" si="0"/>
        <v>22715700</v>
      </c>
      <c r="I31" s="4" t="s">
        <v>15</v>
      </c>
      <c r="J31" s="11">
        <v>414403</v>
      </c>
      <c r="K31" s="4">
        <v>3</v>
      </c>
      <c r="L31" s="42" t="str">
        <f t="shared" si="1"/>
        <v>Bulk Order</v>
      </c>
      <c r="M31" s="42" t="str">
        <f t="shared" si="2"/>
        <v>Fast Delivery</v>
      </c>
      <c r="N31" s="43" t="str">
        <f t="shared" si="3"/>
        <v>Fast Delivery</v>
      </c>
      <c r="O31" s="42" t="str">
        <f t="shared" si="4"/>
        <v>Standard Shipping</v>
      </c>
      <c r="P31" s="42" t="str">
        <f>IF(OR(D31="Laptop",D31="Tablet"),"Premium Product","Reguler Product")</f>
        <v>Reguler Product</v>
      </c>
      <c r="Q31" s="42" t="str">
        <f t="shared" si="5"/>
        <v>Consumer Order</v>
      </c>
    </row>
    <row r="33" spans="1:16" x14ac:dyDescent="0.25">
      <c r="A33" s="18" t="s">
        <v>120</v>
      </c>
    </row>
    <row r="34" spans="1:16" x14ac:dyDescent="0.25">
      <c r="A34" s="18" t="s">
        <v>112</v>
      </c>
      <c r="M34" s="31" t="s">
        <v>164</v>
      </c>
      <c r="O34"/>
    </row>
    <row r="35" spans="1:16" x14ac:dyDescent="0.25">
      <c r="A35" s="1" t="s">
        <v>109</v>
      </c>
      <c r="B35" t="s">
        <v>110</v>
      </c>
      <c r="M35" s="1" t="s">
        <v>11</v>
      </c>
      <c r="N35" s="10">
        <f>SUMIF($D$2:$D$31,M35,$H$2:$H$31)</f>
        <v>1167551318</v>
      </c>
      <c r="O35"/>
    </row>
    <row r="36" spans="1:16" x14ac:dyDescent="0.25">
      <c r="A36" s="1" t="s">
        <v>186</v>
      </c>
      <c r="B36" t="s">
        <v>111</v>
      </c>
      <c r="M36" s="1" t="s">
        <v>14</v>
      </c>
      <c r="N36" s="10">
        <f t="shared" ref="N36:N37" si="6">SUMIF($D$2:$D$31,M36,$H$2:$H$31)</f>
        <v>6524844</v>
      </c>
      <c r="O36"/>
    </row>
    <row r="37" spans="1:16" x14ac:dyDescent="0.25">
      <c r="A37" s="1" t="s">
        <v>119</v>
      </c>
      <c r="B37" t="s">
        <v>111</v>
      </c>
      <c r="M37" s="1" t="s">
        <v>18</v>
      </c>
      <c r="N37" s="10">
        <f t="shared" si="6"/>
        <v>75702617</v>
      </c>
      <c r="O37"/>
    </row>
    <row r="38" spans="1:16" x14ac:dyDescent="0.25">
      <c r="A38" s="18" t="s">
        <v>113</v>
      </c>
    </row>
    <row r="39" spans="1:16" x14ac:dyDescent="0.25">
      <c r="A39" t="s">
        <v>115</v>
      </c>
      <c r="M39" s="31" t="s">
        <v>165</v>
      </c>
      <c r="N39" s="10"/>
    </row>
    <row r="40" spans="1:16" ht="30" x14ac:dyDescent="0.25">
      <c r="M40" s="1" t="s">
        <v>11</v>
      </c>
      <c r="N40" s="1" t="s">
        <v>13</v>
      </c>
      <c r="O40" s="55">
        <f>SUMIFS(H2:H31,D2:D31,M40,I2:I31,N40)</f>
        <v>471010554</v>
      </c>
      <c r="P40" s="54" t="str">
        <f ca="1">_xlfn.FORMULATEXT(O40)</f>
        <v>=SUMIFS(H2:H31;D2:D31;M40;I2:I31;N40)</v>
      </c>
    </row>
    <row r="41" spans="1:16" x14ac:dyDescent="0.25">
      <c r="A41" s="18" t="s">
        <v>114</v>
      </c>
    </row>
    <row r="42" spans="1:16" x14ac:dyDescent="0.25">
      <c r="A42" t="s">
        <v>116</v>
      </c>
      <c r="M42" s="32" t="s">
        <v>166</v>
      </c>
      <c r="N42" s="56" t="s">
        <v>192</v>
      </c>
      <c r="O42" s="33"/>
    </row>
    <row r="43" spans="1:16" x14ac:dyDescent="0.25">
      <c r="M43" s="1" t="s">
        <v>11</v>
      </c>
      <c r="N43">
        <f>COUNTIF($D$2:$D$31,M43)</f>
        <v>5</v>
      </c>
      <c r="O43" s="33"/>
    </row>
    <row r="44" spans="1:16" x14ac:dyDescent="0.25">
      <c r="A44" s="18" t="s">
        <v>117</v>
      </c>
      <c r="M44" s="1" t="s">
        <v>14</v>
      </c>
      <c r="N44">
        <f t="shared" ref="N44:N45" si="7">COUNTIF($D$2:$D$31,M44)</f>
        <v>4</v>
      </c>
      <c r="O44" s="33"/>
    </row>
    <row r="45" spans="1:16" x14ac:dyDescent="0.25">
      <c r="A45" t="s">
        <v>118</v>
      </c>
      <c r="M45" s="1" t="s">
        <v>18</v>
      </c>
      <c r="N45">
        <f t="shared" si="7"/>
        <v>3</v>
      </c>
      <c r="O45" s="33"/>
    </row>
    <row r="47" spans="1:16" x14ac:dyDescent="0.25">
      <c r="M47" s="31" t="s">
        <v>167</v>
      </c>
      <c r="O47" s="33"/>
    </row>
    <row r="48" spans="1:16" x14ac:dyDescent="0.25">
      <c r="M48" s="1" t="s">
        <v>11</v>
      </c>
      <c r="N48" s="1" t="s">
        <v>13</v>
      </c>
      <c r="O48" s="33">
        <f>COUNTIFS(D2:D31,M48,I2:I31,N48)</f>
        <v>2</v>
      </c>
    </row>
    <row r="50" spans="13:15" x14ac:dyDescent="0.25">
      <c r="M50" s="32" t="s">
        <v>168</v>
      </c>
      <c r="N50" t="s">
        <v>193</v>
      </c>
    </row>
    <row r="51" spans="13:15" x14ac:dyDescent="0.25">
      <c r="M51" s="1" t="s">
        <v>11</v>
      </c>
      <c r="N51" s="34">
        <f>AVERAGEIF($D$2:$D$31,M51,$G$2:$G$31)</f>
        <v>12.8</v>
      </c>
      <c r="O51" s="33"/>
    </row>
    <row r="52" spans="13:15" x14ac:dyDescent="0.25">
      <c r="M52" s="1" t="s">
        <v>14</v>
      </c>
      <c r="N52" s="34">
        <f t="shared" ref="N52:N53" si="8">AVERAGEIF($D$2:$D$31,M52,$G$2:$G$31)</f>
        <v>4.75</v>
      </c>
      <c r="O52" s="33"/>
    </row>
    <row r="53" spans="13:15" x14ac:dyDescent="0.25">
      <c r="M53" s="1" t="s">
        <v>18</v>
      </c>
      <c r="N53" s="34">
        <f t="shared" si="8"/>
        <v>12.333333333333334</v>
      </c>
      <c r="O53" s="33"/>
    </row>
    <row r="55" spans="13:15" x14ac:dyDescent="0.25">
      <c r="M55" s="31" t="s">
        <v>169</v>
      </c>
      <c r="O55" s="33"/>
    </row>
    <row r="56" spans="13:15" x14ac:dyDescent="0.25">
      <c r="M56" s="1" t="s">
        <v>11</v>
      </c>
      <c r="N56" s="1" t="s">
        <v>13</v>
      </c>
      <c r="O56" s="33">
        <f>AVERAGEIFS(G2:G31,D2:D31,M56,I2:I31,N56)</f>
        <v>19</v>
      </c>
    </row>
  </sheetData>
  <autoFilter ref="A1:Q31" xr:uid="{38F657F4-3B4F-4106-AE6C-B58BEF4C5AE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DAEA-0C52-4C14-A94A-F9D4D4B0C319}">
  <dimension ref="A1:O31"/>
  <sheetViews>
    <sheetView topLeftCell="A2" workbookViewId="0">
      <selection activeCell="O2" sqref="O2:O31"/>
    </sheetView>
  </sheetViews>
  <sheetFormatPr defaultRowHeight="15" x14ac:dyDescent="0.25"/>
  <cols>
    <col min="4" max="4" width="12.85546875" customWidth="1"/>
    <col min="5" max="5" width="11.28515625" bestFit="1" customWidth="1"/>
    <col min="8" max="8" width="11.7109375" customWidth="1"/>
    <col min="11" max="11" width="17.42578125" customWidth="1"/>
    <col min="12" max="12" width="18.7109375" customWidth="1"/>
    <col min="13" max="13" width="12.85546875" customWidth="1"/>
    <col min="14" max="14" width="12.7109375" customWidth="1"/>
    <col min="15" max="15" width="12.5703125" customWidth="1"/>
    <col min="16" max="16" width="8.85546875" customWidth="1"/>
  </cols>
  <sheetData>
    <row r="1" spans="1:15" ht="45" x14ac:dyDescent="0.25">
      <c r="A1" s="19" t="s">
        <v>0</v>
      </c>
      <c r="B1" s="19" t="s">
        <v>108</v>
      </c>
      <c r="C1" s="19" t="s">
        <v>1</v>
      </c>
      <c r="D1" s="19" t="s">
        <v>2</v>
      </c>
      <c r="E1" s="19" t="s">
        <v>107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170</v>
      </c>
      <c r="L1" s="19" t="s">
        <v>171</v>
      </c>
      <c r="M1" s="19" t="s">
        <v>172</v>
      </c>
      <c r="N1" s="19" t="s">
        <v>173</v>
      </c>
      <c r="O1" s="19" t="s">
        <v>174</v>
      </c>
    </row>
    <row r="2" spans="1:15" x14ac:dyDescent="0.25">
      <c r="A2">
        <v>1001</v>
      </c>
      <c r="B2" t="s">
        <v>9</v>
      </c>
      <c r="C2" t="s">
        <v>10</v>
      </c>
      <c r="D2" t="s">
        <v>11</v>
      </c>
      <c r="E2" s="10">
        <v>4612059</v>
      </c>
      <c r="F2" s="12">
        <v>0.1</v>
      </c>
      <c r="G2">
        <v>20</v>
      </c>
      <c r="H2" t="s">
        <v>13</v>
      </c>
      <c r="I2" s="10">
        <v>327163</v>
      </c>
      <c r="J2">
        <v>2</v>
      </c>
      <c r="K2" s="2" t="str">
        <f>VLOOKUP(D2,LookupTable!$B$2:$C$11,2,FALSE)</f>
        <v>Technology</v>
      </c>
      <c r="L2" s="2" t="str">
        <f>VLOOKUP(D2,LookupTable!$B$2:$G$11,6,FALSE)</f>
        <v>Warehouse 1</v>
      </c>
      <c r="M2">
        <f>HLOOKUP(D2,LookupTable!$A$15:$K$19,4,FALSE)</f>
        <v>50</v>
      </c>
      <c r="N2" s="57" t="s">
        <v>194</v>
      </c>
      <c r="O2" t="str">
        <f>INDEX(LookupTable!$D$2:$D$11,MATCH(Lookup!D2,LookupTable!$B$2:$B$11,0))</f>
        <v>Supplier A</v>
      </c>
    </row>
    <row r="3" spans="1:15" x14ac:dyDescent="0.25">
      <c r="A3">
        <v>1002</v>
      </c>
      <c r="B3" t="s">
        <v>9</v>
      </c>
      <c r="C3" t="s">
        <v>10</v>
      </c>
      <c r="D3" t="s">
        <v>14</v>
      </c>
      <c r="E3" s="10">
        <v>415612</v>
      </c>
      <c r="F3" s="12">
        <v>0.17</v>
      </c>
      <c r="G3">
        <v>1</v>
      </c>
      <c r="H3" t="s">
        <v>15</v>
      </c>
      <c r="I3" s="10">
        <v>783312</v>
      </c>
      <c r="J3">
        <v>7</v>
      </c>
      <c r="K3" s="2" t="str">
        <f>VLOOKUP(D3,LookupTable!$B$2:$C$11,2,FALSE)</f>
        <v>Accessories</v>
      </c>
      <c r="L3" s="2" t="str">
        <f>VLOOKUP(D3,LookupTable!$B$2:$G$11,6,FALSE)</f>
        <v>Warehouse 2</v>
      </c>
      <c r="M3">
        <f>HLOOKUP(D3,LookupTable!$A$15:$K$19,4,FALSE)</f>
        <v>150</v>
      </c>
      <c r="N3" s="57"/>
      <c r="O3" t="str">
        <f>INDEX(LookupTable!$D$2:$D$11,MATCH(Lookup!D3,LookupTable!$B$2:$B$11,0))</f>
        <v>Supplier I</v>
      </c>
    </row>
    <row r="4" spans="1:15" x14ac:dyDescent="0.25">
      <c r="A4">
        <v>1003</v>
      </c>
      <c r="B4" t="s">
        <v>16</v>
      </c>
      <c r="C4" t="s">
        <v>17</v>
      </c>
      <c r="D4" t="s">
        <v>18</v>
      </c>
      <c r="E4" s="10">
        <v>1725042</v>
      </c>
      <c r="F4" s="12">
        <v>0.2</v>
      </c>
      <c r="G4">
        <v>17</v>
      </c>
      <c r="H4" t="s">
        <v>20</v>
      </c>
      <c r="I4" s="10">
        <v>573976</v>
      </c>
      <c r="J4">
        <v>7</v>
      </c>
      <c r="K4" s="2" t="str">
        <f>VLOOKUP(D4,LookupTable!$B$2:$C$11,2,FALSE)</f>
        <v>Technology</v>
      </c>
      <c r="L4" s="2" t="str">
        <f>VLOOKUP(D4,LookupTable!$B$2:$G$11,6,FALSE)</f>
        <v>Warehouse 4</v>
      </c>
      <c r="M4">
        <f>HLOOKUP(D4,LookupTable!$A$15:$K$19,4,FALSE)</f>
        <v>20</v>
      </c>
      <c r="N4" s="57"/>
      <c r="O4" t="str">
        <f>INDEX(LookupTable!$D$2:$D$11,MATCH(Lookup!D4,LookupTable!$B$2:$B$11,0))</f>
        <v>Supplier G</v>
      </c>
    </row>
    <row r="5" spans="1:15" x14ac:dyDescent="0.25">
      <c r="A5">
        <v>1004</v>
      </c>
      <c r="B5" t="s">
        <v>9</v>
      </c>
      <c r="C5" t="s">
        <v>17</v>
      </c>
      <c r="D5" t="s">
        <v>11</v>
      </c>
      <c r="E5" s="10">
        <v>32495820</v>
      </c>
      <c r="F5" s="12">
        <v>0.19</v>
      </c>
      <c r="G5">
        <v>12</v>
      </c>
      <c r="H5" t="s">
        <v>20</v>
      </c>
      <c r="I5" s="10">
        <v>715388</v>
      </c>
      <c r="J5">
        <v>8</v>
      </c>
      <c r="K5" s="2" t="str">
        <f>VLOOKUP(D5,LookupTable!$B$2:$C$11,2,FALSE)</f>
        <v>Technology</v>
      </c>
      <c r="L5" s="2" t="str">
        <f>VLOOKUP(D5,LookupTable!$B$2:$G$11,6,FALSE)</f>
        <v>Warehouse 1</v>
      </c>
      <c r="M5">
        <f>HLOOKUP(D5,LookupTable!$A$15:$K$19,4,FALSE)</f>
        <v>50</v>
      </c>
      <c r="N5" s="57"/>
      <c r="O5" t="str">
        <f>INDEX(LookupTable!$D$2:$D$11,MATCH(Lookup!D5,LookupTable!$B$2:$B$11,0))</f>
        <v>Supplier A</v>
      </c>
    </row>
    <row r="6" spans="1:15" x14ac:dyDescent="0.25">
      <c r="A6">
        <v>1005</v>
      </c>
      <c r="B6" t="s">
        <v>22</v>
      </c>
      <c r="C6" t="s">
        <v>23</v>
      </c>
      <c r="D6" t="s">
        <v>24</v>
      </c>
      <c r="E6" s="10">
        <v>381259</v>
      </c>
      <c r="F6" s="12">
        <v>0.08</v>
      </c>
      <c r="G6">
        <v>9</v>
      </c>
      <c r="H6" t="s">
        <v>15</v>
      </c>
      <c r="I6" s="10">
        <v>516373</v>
      </c>
      <c r="J6">
        <v>1</v>
      </c>
      <c r="K6" s="2" t="str">
        <f>VLOOKUP(D6,LookupTable!$B$2:$C$11,2,FALSE)</f>
        <v>Accessories</v>
      </c>
      <c r="L6" s="2" t="str">
        <f>VLOOKUP(D6,LookupTable!$B$2:$G$11,6,FALSE)</f>
        <v>Warehouse 4</v>
      </c>
      <c r="M6">
        <f>HLOOKUP(D6,LookupTable!$A$15:$K$19,4,FALSE)</f>
        <v>80</v>
      </c>
      <c r="N6" s="57"/>
      <c r="O6" t="str">
        <f>INDEX(LookupTable!$D$2:$D$11,MATCH(Lookup!D6,LookupTable!$B$2:$B$11,0))</f>
        <v>Supplier D</v>
      </c>
    </row>
    <row r="7" spans="1:15" x14ac:dyDescent="0.25">
      <c r="A7">
        <v>1006</v>
      </c>
      <c r="B7" t="s">
        <v>9</v>
      </c>
      <c r="C7" t="s">
        <v>25</v>
      </c>
      <c r="D7" t="s">
        <v>26</v>
      </c>
      <c r="E7" s="10">
        <v>3517798</v>
      </c>
      <c r="F7" s="12">
        <v>0.08</v>
      </c>
      <c r="G7">
        <v>5</v>
      </c>
      <c r="H7" t="s">
        <v>13</v>
      </c>
      <c r="I7" s="10">
        <v>488560</v>
      </c>
      <c r="J7">
        <v>4</v>
      </c>
      <c r="K7" s="2" t="str">
        <f>VLOOKUP(D7,LookupTable!$B$2:$C$11,2,FALSE)</f>
        <v>Technology</v>
      </c>
      <c r="L7" s="2" t="str">
        <f>VLOOKUP(D7,LookupTable!$B$2:$G$11,6,FALSE)</f>
        <v>Warehouse 3</v>
      </c>
      <c r="M7">
        <f>HLOOKUP(D7,LookupTable!$A$15:$K$19,4,FALSE)</f>
        <v>30</v>
      </c>
      <c r="N7" s="57"/>
      <c r="O7" t="str">
        <f>INDEX(LookupTable!$D$2:$D$11,MATCH(Lookup!D7,LookupTable!$B$2:$B$11,0))</f>
        <v>Supplier C</v>
      </c>
    </row>
    <row r="8" spans="1:15" x14ac:dyDescent="0.25">
      <c r="A8">
        <v>1007</v>
      </c>
      <c r="B8" t="s">
        <v>9</v>
      </c>
      <c r="C8" t="s">
        <v>17</v>
      </c>
      <c r="D8" t="s">
        <v>18</v>
      </c>
      <c r="E8" s="10">
        <v>4056860</v>
      </c>
      <c r="F8" s="12">
        <v>0.14000000000000001</v>
      </c>
      <c r="G8">
        <v>9</v>
      </c>
      <c r="H8" t="s">
        <v>13</v>
      </c>
      <c r="I8" s="10">
        <v>541297</v>
      </c>
      <c r="J8">
        <v>6</v>
      </c>
      <c r="K8" s="2" t="str">
        <f>VLOOKUP(D8,LookupTable!$B$2:$C$11,2,FALSE)</f>
        <v>Technology</v>
      </c>
      <c r="L8" s="2" t="str">
        <f>VLOOKUP(D8,LookupTable!$B$2:$G$11,6,FALSE)</f>
        <v>Warehouse 4</v>
      </c>
      <c r="M8">
        <f>HLOOKUP(D8,LookupTable!$A$15:$K$19,4,FALSE)</f>
        <v>20</v>
      </c>
      <c r="N8" s="57"/>
      <c r="O8" t="str">
        <f>INDEX(LookupTable!$D$2:$D$11,MATCH(Lookup!D8,LookupTable!$B$2:$B$11,0))</f>
        <v>Supplier G</v>
      </c>
    </row>
    <row r="9" spans="1:15" x14ac:dyDescent="0.25">
      <c r="A9">
        <v>1008</v>
      </c>
      <c r="B9" t="s">
        <v>16</v>
      </c>
      <c r="C9" t="s">
        <v>17</v>
      </c>
      <c r="D9" t="s">
        <v>28</v>
      </c>
      <c r="E9" s="10">
        <v>9154155</v>
      </c>
      <c r="F9" s="12">
        <v>0.2</v>
      </c>
      <c r="G9">
        <v>12</v>
      </c>
      <c r="H9" t="s">
        <v>15</v>
      </c>
      <c r="I9" s="10">
        <v>568288</v>
      </c>
      <c r="J9">
        <v>7</v>
      </c>
      <c r="K9" s="2" t="str">
        <f>VLOOKUP(D9,LookupTable!$B$2:$C$11,2,FALSE)</f>
        <v>Technology</v>
      </c>
      <c r="L9" s="2" t="str">
        <f>VLOOKUP(D9,LookupTable!$B$2:$G$11,6,FALSE)</f>
        <v>Warehouse 2</v>
      </c>
      <c r="M9">
        <f>HLOOKUP(D9,LookupTable!$A$15:$K$19,4,FALSE)</f>
        <v>30</v>
      </c>
      <c r="N9" s="57"/>
      <c r="O9" t="str">
        <f>INDEX(LookupTable!$D$2:$D$11,MATCH(Lookup!D9,LookupTable!$B$2:$B$11,0))</f>
        <v>Supplier B</v>
      </c>
    </row>
    <row r="10" spans="1:15" x14ac:dyDescent="0.25">
      <c r="A10">
        <v>1009</v>
      </c>
      <c r="B10" t="s">
        <v>29</v>
      </c>
      <c r="C10" t="s">
        <v>17</v>
      </c>
      <c r="D10" t="s">
        <v>30</v>
      </c>
      <c r="E10" s="10">
        <v>4734466</v>
      </c>
      <c r="F10" s="12">
        <v>0.16</v>
      </c>
      <c r="G10">
        <v>16</v>
      </c>
      <c r="H10" t="s">
        <v>15</v>
      </c>
      <c r="I10" s="10">
        <v>652076</v>
      </c>
      <c r="J10">
        <v>13</v>
      </c>
      <c r="K10" s="2" t="str">
        <f>VLOOKUP(D10,LookupTable!$B$2:$C$11,2,FALSE)</f>
        <v>Electronics</v>
      </c>
      <c r="L10" s="2" t="str">
        <f>VLOOKUP(D10,LookupTable!$B$2:$G$11,6,FALSE)</f>
        <v>Warehouse 1</v>
      </c>
      <c r="M10">
        <f>HLOOKUP(D10,LookupTable!$A$15:$K$19,4,FALSE)</f>
        <v>10</v>
      </c>
      <c r="N10" s="57"/>
      <c r="O10" t="str">
        <f>INDEX(LookupTable!$D$2:$D$11,MATCH(Lookup!D10,LookupTable!$B$2:$B$11,0))</f>
        <v>Supplier H</v>
      </c>
    </row>
    <row r="11" spans="1:15" x14ac:dyDescent="0.25">
      <c r="A11">
        <v>1010</v>
      </c>
      <c r="B11" t="s">
        <v>31</v>
      </c>
      <c r="C11" t="s">
        <v>17</v>
      </c>
      <c r="D11" t="s">
        <v>24</v>
      </c>
      <c r="E11" s="10">
        <v>235319</v>
      </c>
      <c r="F11" s="12">
        <v>0.14000000000000001</v>
      </c>
      <c r="G11">
        <v>20</v>
      </c>
      <c r="H11" t="s">
        <v>13</v>
      </c>
      <c r="I11" s="10">
        <v>394800</v>
      </c>
      <c r="J11">
        <v>2</v>
      </c>
      <c r="K11" s="2" t="str">
        <f>VLOOKUP(D11,LookupTable!$B$2:$C$11,2,FALSE)</f>
        <v>Accessories</v>
      </c>
      <c r="L11" s="2" t="str">
        <f>VLOOKUP(D11,LookupTable!$B$2:$G$11,6,FALSE)</f>
        <v>Warehouse 4</v>
      </c>
      <c r="M11">
        <f>HLOOKUP(D11,LookupTable!$A$15:$K$19,4,FALSE)</f>
        <v>80</v>
      </c>
      <c r="N11" s="57"/>
      <c r="O11" t="str">
        <f>INDEX(LookupTable!$D$2:$D$11,MATCH(Lookup!D11,LookupTable!$B$2:$B$11,0))</f>
        <v>Supplier D</v>
      </c>
    </row>
    <row r="12" spans="1:15" x14ac:dyDescent="0.25">
      <c r="A12">
        <v>1011</v>
      </c>
      <c r="B12" t="s">
        <v>29</v>
      </c>
      <c r="C12" t="s">
        <v>23</v>
      </c>
      <c r="D12" t="s">
        <v>26</v>
      </c>
      <c r="E12" s="10">
        <v>14931496</v>
      </c>
      <c r="F12" s="12">
        <v>0.11</v>
      </c>
      <c r="G12">
        <v>14</v>
      </c>
      <c r="H12" t="s">
        <v>20</v>
      </c>
      <c r="I12" s="10">
        <v>660012</v>
      </c>
      <c r="J12">
        <v>4</v>
      </c>
      <c r="K12" s="2" t="str">
        <f>VLOOKUP(D12,LookupTable!$B$2:$C$11,2,FALSE)</f>
        <v>Technology</v>
      </c>
      <c r="L12" s="2" t="str">
        <f>VLOOKUP(D12,LookupTable!$B$2:$G$11,6,FALSE)</f>
        <v>Warehouse 3</v>
      </c>
      <c r="M12">
        <f>HLOOKUP(D12,LookupTable!$A$15:$K$19,4,FALSE)</f>
        <v>30</v>
      </c>
      <c r="N12" s="57"/>
      <c r="O12" t="str">
        <f>INDEX(LookupTable!$D$2:$D$11,MATCH(Lookup!D12,LookupTable!$B$2:$B$11,0))</f>
        <v>Supplier C</v>
      </c>
    </row>
    <row r="13" spans="1:15" x14ac:dyDescent="0.25">
      <c r="A13">
        <v>1012</v>
      </c>
      <c r="B13" t="s">
        <v>31</v>
      </c>
      <c r="C13" t="s">
        <v>23</v>
      </c>
      <c r="D13" t="s">
        <v>24</v>
      </c>
      <c r="E13" s="10">
        <v>265689</v>
      </c>
      <c r="F13" s="12">
        <v>0.08</v>
      </c>
      <c r="G13">
        <v>9</v>
      </c>
      <c r="H13" t="s">
        <v>20</v>
      </c>
      <c r="I13" s="10">
        <v>609492</v>
      </c>
      <c r="J13">
        <v>3</v>
      </c>
      <c r="K13" s="2" t="str">
        <f>VLOOKUP(D13,LookupTable!$B$2:$C$11,2,FALSE)</f>
        <v>Accessories</v>
      </c>
      <c r="L13" s="2" t="str">
        <f>VLOOKUP(D13,LookupTable!$B$2:$G$11,6,FALSE)</f>
        <v>Warehouse 4</v>
      </c>
      <c r="M13">
        <f>HLOOKUP(D13,LookupTable!$A$15:$K$19,4,FALSE)</f>
        <v>80</v>
      </c>
      <c r="N13" s="57"/>
      <c r="O13" t="str">
        <f>INDEX(LookupTable!$D$2:$D$11,MATCH(Lookup!D13,LookupTable!$B$2:$B$11,0))</f>
        <v>Supplier D</v>
      </c>
    </row>
    <row r="14" spans="1:15" x14ac:dyDescent="0.25">
      <c r="A14">
        <v>1013</v>
      </c>
      <c r="B14" t="s">
        <v>16</v>
      </c>
      <c r="C14" t="s">
        <v>17</v>
      </c>
      <c r="D14" t="s">
        <v>32</v>
      </c>
      <c r="E14" s="10">
        <v>5190626</v>
      </c>
      <c r="F14" s="12">
        <v>7.0000000000000007E-2</v>
      </c>
      <c r="G14">
        <v>18</v>
      </c>
      <c r="H14" t="s">
        <v>15</v>
      </c>
      <c r="I14" s="10">
        <v>323779</v>
      </c>
      <c r="J14">
        <v>14</v>
      </c>
      <c r="K14" s="2" t="str">
        <f>VLOOKUP(D14,LookupTable!$B$2:$C$11,2,FALSE)</f>
        <v>Technology</v>
      </c>
      <c r="L14" s="2" t="str">
        <f>VLOOKUP(D14,LookupTable!$B$2:$G$11,6,FALSE)</f>
        <v>Warehouse 1</v>
      </c>
      <c r="M14">
        <f>HLOOKUP(D14,LookupTable!$A$15:$K$19,4,FALSE)</f>
        <v>12</v>
      </c>
      <c r="N14" s="57"/>
      <c r="O14" t="str">
        <f>INDEX(LookupTable!$D$2:$D$11,MATCH(Lookup!D14,LookupTable!$B$2:$B$11,0))</f>
        <v>Supplier A</v>
      </c>
    </row>
    <row r="15" spans="1:15" x14ac:dyDescent="0.25">
      <c r="A15">
        <v>1014</v>
      </c>
      <c r="B15" t="s">
        <v>29</v>
      </c>
      <c r="C15" t="s">
        <v>17</v>
      </c>
      <c r="D15" t="s">
        <v>18</v>
      </c>
      <c r="E15" s="10">
        <v>896833</v>
      </c>
      <c r="F15" s="12">
        <v>0.13</v>
      </c>
      <c r="G15">
        <v>11</v>
      </c>
      <c r="H15" t="s">
        <v>13</v>
      </c>
      <c r="I15" s="10">
        <v>810685</v>
      </c>
      <c r="J15">
        <v>5</v>
      </c>
      <c r="K15" s="2" t="str">
        <f>VLOOKUP(D15,LookupTable!$B$2:$C$11,2,FALSE)</f>
        <v>Technology</v>
      </c>
      <c r="L15" s="2" t="str">
        <f>VLOOKUP(D15,LookupTable!$B$2:$G$11,6,FALSE)</f>
        <v>Warehouse 4</v>
      </c>
      <c r="M15">
        <f>HLOOKUP(D15,LookupTable!$A$15:$K$19,4,FALSE)</f>
        <v>20</v>
      </c>
      <c r="N15" s="57"/>
      <c r="O15" t="str">
        <f>INDEX(LookupTable!$D$2:$D$11,MATCH(Lookup!D15,LookupTable!$B$2:$B$11,0))</f>
        <v>Supplier G</v>
      </c>
    </row>
    <row r="16" spans="1:15" x14ac:dyDescent="0.25">
      <c r="A16">
        <v>1015</v>
      </c>
      <c r="B16" t="s">
        <v>16</v>
      </c>
      <c r="C16" t="s">
        <v>23</v>
      </c>
      <c r="D16" t="s">
        <v>14</v>
      </c>
      <c r="E16" s="10">
        <v>384978</v>
      </c>
      <c r="F16" s="12">
        <v>0.18</v>
      </c>
      <c r="G16">
        <v>14</v>
      </c>
      <c r="H16" t="s">
        <v>20</v>
      </c>
      <c r="I16" s="10">
        <v>278811</v>
      </c>
      <c r="J16">
        <v>4</v>
      </c>
      <c r="K16" s="2" t="str">
        <f>VLOOKUP(D16,LookupTable!$B$2:$C$11,2,FALSE)</f>
        <v>Accessories</v>
      </c>
      <c r="L16" s="2" t="str">
        <f>VLOOKUP(D16,LookupTable!$B$2:$G$11,6,FALSE)</f>
        <v>Warehouse 2</v>
      </c>
      <c r="M16">
        <f>HLOOKUP(D16,LookupTable!$A$15:$K$19,4,FALSE)</f>
        <v>150</v>
      </c>
      <c r="N16" s="57"/>
      <c r="O16" t="str">
        <f>INDEX(LookupTable!$D$2:$D$11,MATCH(Lookup!D16,LookupTable!$B$2:$B$11,0))</f>
        <v>Supplier I</v>
      </c>
    </row>
    <row r="17" spans="1:15" x14ac:dyDescent="0.25">
      <c r="A17">
        <v>1016</v>
      </c>
      <c r="B17" t="s">
        <v>16</v>
      </c>
      <c r="C17" t="s">
        <v>10</v>
      </c>
      <c r="D17" t="s">
        <v>33</v>
      </c>
      <c r="E17" s="10">
        <v>4123619</v>
      </c>
      <c r="F17" s="12">
        <v>0.08</v>
      </c>
      <c r="G17">
        <v>8</v>
      </c>
      <c r="H17" t="s">
        <v>20</v>
      </c>
      <c r="I17" s="10">
        <v>453188</v>
      </c>
      <c r="J17">
        <v>12</v>
      </c>
      <c r="K17" s="2" t="str">
        <f>VLOOKUP(D17,LookupTable!$B$2:$C$11,2,FALSE)</f>
        <v>Furniture</v>
      </c>
      <c r="L17" s="2" t="str">
        <f>VLOOKUP(D17,LookupTable!$B$2:$G$11,6,FALSE)</f>
        <v>Warehouse 3</v>
      </c>
      <c r="M17">
        <f>HLOOKUP(D17,LookupTable!$A$15:$K$19,4,FALSE)</f>
        <v>40</v>
      </c>
      <c r="N17" s="57"/>
      <c r="O17" t="str">
        <f>INDEX(LookupTable!$D$2:$D$11,MATCH(Lookup!D17,LookupTable!$B$2:$B$11,0))</f>
        <v>Supplier F</v>
      </c>
    </row>
    <row r="18" spans="1:15" x14ac:dyDescent="0.25">
      <c r="A18">
        <v>1017</v>
      </c>
      <c r="B18" t="s">
        <v>22</v>
      </c>
      <c r="C18" t="s">
        <v>25</v>
      </c>
      <c r="D18" t="s">
        <v>30</v>
      </c>
      <c r="E18" s="10">
        <v>1460409</v>
      </c>
      <c r="F18" s="12">
        <v>0.19</v>
      </c>
      <c r="G18">
        <v>2</v>
      </c>
      <c r="H18" t="s">
        <v>20</v>
      </c>
      <c r="I18" s="10">
        <v>419274</v>
      </c>
      <c r="J18">
        <v>4</v>
      </c>
      <c r="K18" s="2" t="str">
        <f>VLOOKUP(D18,LookupTable!$B$2:$C$11,2,FALSE)</f>
        <v>Electronics</v>
      </c>
      <c r="L18" s="2" t="str">
        <f>VLOOKUP(D18,LookupTable!$B$2:$G$11,6,FALSE)</f>
        <v>Warehouse 1</v>
      </c>
      <c r="M18">
        <f>HLOOKUP(D18,LookupTable!$A$15:$K$19,4,FALSE)</f>
        <v>10</v>
      </c>
      <c r="N18" s="57"/>
      <c r="O18" t="str">
        <f>INDEX(LookupTable!$D$2:$D$11,MATCH(Lookup!D18,LookupTable!$B$2:$B$11,0))</f>
        <v>Supplier H</v>
      </c>
    </row>
    <row r="19" spans="1:15" x14ac:dyDescent="0.25">
      <c r="A19">
        <v>1018</v>
      </c>
      <c r="B19" t="s">
        <v>9</v>
      </c>
      <c r="C19" t="s">
        <v>25</v>
      </c>
      <c r="D19" t="s">
        <v>11</v>
      </c>
      <c r="E19" s="10">
        <v>21042743</v>
      </c>
      <c r="F19" s="12">
        <v>0.11</v>
      </c>
      <c r="G19">
        <v>18</v>
      </c>
      <c r="H19" t="s">
        <v>13</v>
      </c>
      <c r="I19" s="10">
        <v>355153</v>
      </c>
      <c r="J19">
        <v>4</v>
      </c>
      <c r="K19" s="2" t="str">
        <f>VLOOKUP(D19,LookupTable!$B$2:$C$11,2,FALSE)</f>
        <v>Technology</v>
      </c>
      <c r="L19" s="2" t="str">
        <f>VLOOKUP(D19,LookupTable!$B$2:$G$11,6,FALSE)</f>
        <v>Warehouse 1</v>
      </c>
      <c r="M19">
        <f>HLOOKUP(D19,LookupTable!$A$15:$K$19,4,FALSE)</f>
        <v>50</v>
      </c>
      <c r="N19" s="57"/>
      <c r="O19" t="str">
        <f>INDEX(LookupTable!$D$2:$D$11,MATCH(Lookup!D19,LookupTable!$B$2:$B$11,0))</f>
        <v>Supplier A</v>
      </c>
    </row>
    <row r="20" spans="1:15" x14ac:dyDescent="0.25">
      <c r="A20">
        <v>1019</v>
      </c>
      <c r="B20" t="s">
        <v>31</v>
      </c>
      <c r="C20" t="s">
        <v>23</v>
      </c>
      <c r="D20" t="s">
        <v>34</v>
      </c>
      <c r="E20" s="10">
        <v>2080084</v>
      </c>
      <c r="F20" s="12">
        <v>0.13</v>
      </c>
      <c r="G20">
        <v>10</v>
      </c>
      <c r="H20" t="s">
        <v>13</v>
      </c>
      <c r="I20" s="10">
        <v>974303</v>
      </c>
      <c r="J20">
        <v>8</v>
      </c>
      <c r="K20" s="2" t="str">
        <f>VLOOKUP(D20,LookupTable!$B$2:$C$11,2,FALSE)</f>
        <v>Furniture</v>
      </c>
      <c r="L20" s="2" t="str">
        <f>VLOOKUP(D20,LookupTable!$B$2:$G$11,6,FALSE)</f>
        <v>Warehouse 2</v>
      </c>
      <c r="M20">
        <f>HLOOKUP(D20,LookupTable!$A$15:$K$19,4,FALSE)</f>
        <v>60</v>
      </c>
      <c r="N20" s="57"/>
      <c r="O20" t="str">
        <f>INDEX(LookupTable!$D$2:$D$11,MATCH(Lookup!D20,LookupTable!$B$2:$B$11,0))</f>
        <v>Supplier E</v>
      </c>
    </row>
    <row r="21" spans="1:15" x14ac:dyDescent="0.25">
      <c r="A21">
        <v>1020</v>
      </c>
      <c r="B21" t="s">
        <v>29</v>
      </c>
      <c r="C21" t="s">
        <v>25</v>
      </c>
      <c r="D21" t="s">
        <v>14</v>
      </c>
      <c r="E21" s="10">
        <v>348044</v>
      </c>
      <c r="F21" s="12">
        <v>0.06</v>
      </c>
      <c r="G21">
        <v>1</v>
      </c>
      <c r="H21" t="s">
        <v>15</v>
      </c>
      <c r="I21" s="10">
        <v>303630</v>
      </c>
      <c r="J21">
        <v>4</v>
      </c>
      <c r="K21" s="2" t="str">
        <f>VLOOKUP(D21,LookupTable!$B$2:$C$11,2,FALSE)</f>
        <v>Accessories</v>
      </c>
      <c r="L21" s="2" t="str">
        <f>VLOOKUP(D21,LookupTable!$B$2:$G$11,6,FALSE)</f>
        <v>Warehouse 2</v>
      </c>
      <c r="M21">
        <f>HLOOKUP(D21,LookupTable!$A$15:$K$19,4,FALSE)</f>
        <v>150</v>
      </c>
      <c r="N21" s="57"/>
      <c r="O21" t="str">
        <f>INDEX(LookupTable!$D$2:$D$11,MATCH(Lookup!D21,LookupTable!$B$2:$B$11,0))</f>
        <v>Supplier I</v>
      </c>
    </row>
    <row r="22" spans="1:15" x14ac:dyDescent="0.25">
      <c r="A22">
        <v>1021</v>
      </c>
      <c r="B22" t="s">
        <v>9</v>
      </c>
      <c r="C22" t="s">
        <v>23</v>
      </c>
      <c r="D22" t="s">
        <v>11</v>
      </c>
      <c r="E22" s="10">
        <v>20434309</v>
      </c>
      <c r="F22" s="12">
        <v>0.17</v>
      </c>
      <c r="G22">
        <v>8</v>
      </c>
      <c r="H22" t="s">
        <v>20</v>
      </c>
      <c r="I22" s="10">
        <v>463882</v>
      </c>
      <c r="J22">
        <v>9</v>
      </c>
      <c r="K22" s="2" t="str">
        <f>VLOOKUP(D22,LookupTable!$B$2:$C$11,2,FALSE)</f>
        <v>Technology</v>
      </c>
      <c r="L22" s="2" t="str">
        <f>VLOOKUP(D22,LookupTable!$B$2:$G$11,6,FALSE)</f>
        <v>Warehouse 1</v>
      </c>
      <c r="M22">
        <f>HLOOKUP(D22,LookupTable!$A$15:$K$19,4,FALSE)</f>
        <v>50</v>
      </c>
      <c r="N22" s="57"/>
      <c r="O22" t="str">
        <f>INDEX(LookupTable!$D$2:$D$11,MATCH(Lookup!D22,LookupTable!$B$2:$B$11,0))</f>
        <v>Supplier A</v>
      </c>
    </row>
    <row r="23" spans="1:15" x14ac:dyDescent="0.25">
      <c r="A23">
        <v>1022</v>
      </c>
      <c r="B23" t="s">
        <v>29</v>
      </c>
      <c r="C23" t="s">
        <v>25</v>
      </c>
      <c r="D23" t="s">
        <v>26</v>
      </c>
      <c r="E23" s="10">
        <v>11516290</v>
      </c>
      <c r="F23" s="12">
        <v>0.05</v>
      </c>
      <c r="G23">
        <v>8</v>
      </c>
      <c r="H23" t="s">
        <v>15</v>
      </c>
      <c r="I23" s="10">
        <v>533058</v>
      </c>
      <c r="J23">
        <v>5</v>
      </c>
      <c r="K23" s="2" t="str">
        <f>VLOOKUP(D23,LookupTable!$B$2:$C$11,2,FALSE)</f>
        <v>Technology</v>
      </c>
      <c r="L23" s="2" t="str">
        <f>VLOOKUP(D23,LookupTable!$B$2:$G$11,6,FALSE)</f>
        <v>Warehouse 3</v>
      </c>
      <c r="M23">
        <f>HLOOKUP(D23,LookupTable!$A$15:$K$19,4,FALSE)</f>
        <v>30</v>
      </c>
      <c r="N23" s="57"/>
      <c r="O23" t="str">
        <f>INDEX(LookupTable!$D$2:$D$11,MATCH(Lookup!D23,LookupTable!$B$2:$B$11,0))</f>
        <v>Supplier C</v>
      </c>
    </row>
    <row r="24" spans="1:15" x14ac:dyDescent="0.25">
      <c r="A24">
        <v>1023</v>
      </c>
      <c r="B24" t="s">
        <v>29</v>
      </c>
      <c r="C24" t="s">
        <v>23</v>
      </c>
      <c r="D24" t="s">
        <v>26</v>
      </c>
      <c r="E24" s="10">
        <v>3654025</v>
      </c>
      <c r="F24" s="12">
        <v>0.14000000000000001</v>
      </c>
      <c r="G24">
        <v>10</v>
      </c>
      <c r="H24" t="s">
        <v>15</v>
      </c>
      <c r="I24" s="10">
        <v>463127</v>
      </c>
      <c r="J24">
        <v>12</v>
      </c>
      <c r="K24" s="2" t="str">
        <f>VLOOKUP(D24,LookupTable!$B$2:$C$11,2,FALSE)</f>
        <v>Technology</v>
      </c>
      <c r="L24" s="2" t="str">
        <f>VLOOKUP(D24,LookupTable!$B$2:$G$11,6,FALSE)</f>
        <v>Warehouse 3</v>
      </c>
      <c r="M24">
        <f>HLOOKUP(D24,LookupTable!$A$15:$K$19,4,FALSE)</f>
        <v>30</v>
      </c>
      <c r="N24" s="57"/>
      <c r="O24" t="str">
        <f>INDEX(LookupTable!$D$2:$D$11,MATCH(Lookup!D24,LookupTable!$B$2:$B$11,0))</f>
        <v>Supplier C</v>
      </c>
    </row>
    <row r="25" spans="1:15" x14ac:dyDescent="0.25">
      <c r="A25">
        <v>1024</v>
      </c>
      <c r="B25" t="s">
        <v>9</v>
      </c>
      <c r="C25" t="s">
        <v>17</v>
      </c>
      <c r="D25" t="s">
        <v>24</v>
      </c>
      <c r="E25" s="10">
        <v>430932</v>
      </c>
      <c r="F25" s="12">
        <v>0.2</v>
      </c>
      <c r="G25">
        <v>14</v>
      </c>
      <c r="H25" t="s">
        <v>15</v>
      </c>
      <c r="I25" s="10">
        <v>736463</v>
      </c>
      <c r="J25">
        <v>3</v>
      </c>
      <c r="K25" s="2" t="str">
        <f>VLOOKUP(D25,LookupTable!$B$2:$C$11,2,FALSE)</f>
        <v>Accessories</v>
      </c>
      <c r="L25" s="2" t="str">
        <f>VLOOKUP(D25,LookupTable!$B$2:$G$11,6,FALSE)</f>
        <v>Warehouse 4</v>
      </c>
      <c r="M25">
        <f>HLOOKUP(D25,LookupTable!$A$15:$K$19,4,FALSE)</f>
        <v>80</v>
      </c>
      <c r="N25" s="57"/>
      <c r="O25" t="str">
        <f>INDEX(LookupTable!$D$2:$D$11,MATCH(Lookup!D25,LookupTable!$B$2:$B$11,0))</f>
        <v>Supplier D</v>
      </c>
    </row>
    <row r="26" spans="1:15" x14ac:dyDescent="0.25">
      <c r="A26">
        <v>1025</v>
      </c>
      <c r="B26" t="s">
        <v>9</v>
      </c>
      <c r="C26" t="s">
        <v>25</v>
      </c>
      <c r="D26" t="s">
        <v>28</v>
      </c>
      <c r="E26" s="10">
        <v>3965112</v>
      </c>
      <c r="F26" s="12">
        <v>0.13</v>
      </c>
      <c r="G26">
        <v>3</v>
      </c>
      <c r="H26" t="s">
        <v>20</v>
      </c>
      <c r="I26" s="10">
        <v>688804</v>
      </c>
      <c r="J26">
        <v>10</v>
      </c>
      <c r="K26" s="2" t="str">
        <f>VLOOKUP(D26,LookupTable!$B$2:$C$11,2,FALSE)</f>
        <v>Technology</v>
      </c>
      <c r="L26" s="2" t="str">
        <f>VLOOKUP(D26,LookupTable!$B$2:$G$11,6,FALSE)</f>
        <v>Warehouse 2</v>
      </c>
      <c r="M26">
        <f>HLOOKUP(D26,LookupTable!$A$15:$K$19,4,FALSE)</f>
        <v>30</v>
      </c>
      <c r="N26" s="57"/>
      <c r="O26" t="str">
        <f>INDEX(LookupTable!$D$2:$D$11,MATCH(Lookup!D26,LookupTable!$B$2:$B$11,0))</f>
        <v>Supplier B</v>
      </c>
    </row>
    <row r="27" spans="1:15" x14ac:dyDescent="0.25">
      <c r="A27">
        <v>1026</v>
      </c>
      <c r="B27" t="s">
        <v>9</v>
      </c>
      <c r="C27" t="s">
        <v>23</v>
      </c>
      <c r="D27" t="s">
        <v>11</v>
      </c>
      <c r="E27" s="10">
        <v>23852742</v>
      </c>
      <c r="F27" s="12">
        <v>0.14000000000000001</v>
      </c>
      <c r="G27">
        <v>6</v>
      </c>
      <c r="H27" t="s">
        <v>15</v>
      </c>
      <c r="I27" s="10">
        <v>168814</v>
      </c>
      <c r="J27">
        <v>3</v>
      </c>
      <c r="K27" s="2" t="str">
        <f>VLOOKUP(D27,LookupTable!$B$2:$C$11,2,FALSE)</f>
        <v>Technology</v>
      </c>
      <c r="L27" s="2" t="str">
        <f>VLOOKUP(D27,LookupTable!$B$2:$G$11,6,FALSE)</f>
        <v>Warehouse 1</v>
      </c>
      <c r="M27">
        <f>HLOOKUP(D27,LookupTable!$A$15:$K$19,4,FALSE)</f>
        <v>50</v>
      </c>
      <c r="N27" s="57"/>
      <c r="O27" t="str">
        <f>INDEX(LookupTable!$D$2:$D$11,MATCH(Lookup!D27,LookupTable!$B$2:$B$11,0))</f>
        <v>Supplier A</v>
      </c>
    </row>
    <row r="28" spans="1:15" x14ac:dyDescent="0.25">
      <c r="A28">
        <v>1027</v>
      </c>
      <c r="B28" t="s">
        <v>31</v>
      </c>
      <c r="C28" t="s">
        <v>17</v>
      </c>
      <c r="D28" t="s">
        <v>30</v>
      </c>
      <c r="E28" s="10">
        <v>4319916</v>
      </c>
      <c r="F28" s="12">
        <v>0.19</v>
      </c>
      <c r="G28">
        <v>3</v>
      </c>
      <c r="H28" t="s">
        <v>13</v>
      </c>
      <c r="I28" s="10">
        <v>374508</v>
      </c>
      <c r="J28">
        <v>13</v>
      </c>
      <c r="K28" s="2" t="str">
        <f>VLOOKUP(D28,LookupTable!$B$2:$C$11,2,FALSE)</f>
        <v>Electronics</v>
      </c>
      <c r="L28" s="2" t="str">
        <f>VLOOKUP(D28,LookupTable!$B$2:$G$11,6,FALSE)</f>
        <v>Warehouse 1</v>
      </c>
      <c r="M28">
        <f>HLOOKUP(D28,LookupTable!$A$15:$K$19,4,FALSE)</f>
        <v>10</v>
      </c>
      <c r="N28" s="57"/>
      <c r="O28" t="str">
        <f>INDEX(LookupTable!$D$2:$D$11,MATCH(Lookup!D28,LookupTable!$B$2:$B$11,0))</f>
        <v>Supplier H</v>
      </c>
    </row>
    <row r="29" spans="1:15" x14ac:dyDescent="0.25">
      <c r="A29">
        <v>1028</v>
      </c>
      <c r="B29" t="s">
        <v>16</v>
      </c>
      <c r="C29" t="s">
        <v>23</v>
      </c>
      <c r="D29" t="s">
        <v>14</v>
      </c>
      <c r="E29" s="10">
        <v>123832</v>
      </c>
      <c r="F29" s="12">
        <v>0.05</v>
      </c>
      <c r="G29">
        <v>3</v>
      </c>
      <c r="H29" t="s">
        <v>20</v>
      </c>
      <c r="I29" s="10">
        <v>604795</v>
      </c>
      <c r="J29">
        <v>12</v>
      </c>
      <c r="K29" s="2" t="str">
        <f>VLOOKUP(D29,LookupTable!$B$2:$C$11,2,FALSE)</f>
        <v>Accessories</v>
      </c>
      <c r="L29" s="2" t="str">
        <f>VLOOKUP(D29,LookupTable!$B$2:$G$11,6,FALSE)</f>
        <v>Warehouse 2</v>
      </c>
      <c r="M29">
        <f>HLOOKUP(D29,LookupTable!$A$15:$K$19,4,FALSE)</f>
        <v>150</v>
      </c>
      <c r="N29" s="57"/>
      <c r="O29" t="str">
        <f>INDEX(LookupTable!$D$2:$D$11,MATCH(Lookup!D29,LookupTable!$B$2:$B$11,0))</f>
        <v>Supplier I</v>
      </c>
    </row>
    <row r="30" spans="1:15" x14ac:dyDescent="0.25">
      <c r="A30">
        <v>1029</v>
      </c>
      <c r="B30" t="s">
        <v>9</v>
      </c>
      <c r="C30" t="s">
        <v>17</v>
      </c>
      <c r="D30" t="s">
        <v>26</v>
      </c>
      <c r="E30" s="10">
        <v>3332219</v>
      </c>
      <c r="F30" s="12">
        <v>0.06</v>
      </c>
      <c r="G30">
        <v>6</v>
      </c>
      <c r="H30" t="s">
        <v>15</v>
      </c>
      <c r="I30" s="10">
        <v>172802</v>
      </c>
      <c r="J30">
        <v>7</v>
      </c>
      <c r="K30" s="2" t="str">
        <f>VLOOKUP(D30,LookupTable!$B$2:$C$11,2,FALSE)</f>
        <v>Technology</v>
      </c>
      <c r="L30" s="2" t="str">
        <f>VLOOKUP(D30,LookupTable!$B$2:$G$11,6,FALSE)</f>
        <v>Warehouse 3</v>
      </c>
      <c r="M30">
        <f>HLOOKUP(D30,LookupTable!$A$15:$K$19,4,FALSE)</f>
        <v>30</v>
      </c>
      <c r="N30" s="57"/>
      <c r="O30" t="str">
        <f>INDEX(LookupTable!$D$2:$D$11,MATCH(Lookup!D30,LookupTable!$B$2:$B$11,0))</f>
        <v>Supplier C</v>
      </c>
    </row>
    <row r="31" spans="1:15" x14ac:dyDescent="0.25">
      <c r="A31">
        <v>1030</v>
      </c>
      <c r="B31" t="s">
        <v>31</v>
      </c>
      <c r="C31" t="s">
        <v>25</v>
      </c>
      <c r="D31" t="s">
        <v>34</v>
      </c>
      <c r="E31" s="10">
        <v>1622550</v>
      </c>
      <c r="F31" s="12">
        <v>0.15</v>
      </c>
      <c r="G31">
        <v>14</v>
      </c>
      <c r="H31" t="s">
        <v>15</v>
      </c>
      <c r="I31" s="10">
        <v>414403</v>
      </c>
      <c r="J31">
        <v>3</v>
      </c>
      <c r="K31" s="2" t="str">
        <f>VLOOKUP(D31,LookupTable!$B$2:$C$11,2,FALSE)</f>
        <v>Furniture</v>
      </c>
      <c r="L31" s="2" t="str">
        <f>VLOOKUP(D31,LookupTable!$B$2:$G$11,6,FALSE)</f>
        <v>Warehouse 2</v>
      </c>
      <c r="M31">
        <f>HLOOKUP(D31,LookupTable!$A$15:$K$19,4,FALSE)</f>
        <v>60</v>
      </c>
      <c r="N31" s="57"/>
      <c r="O31" t="str">
        <f>INDEX(LookupTable!$D$2:$D$11,MATCH(Lookup!D31,LookupTable!$B$2:$B$11,0))</f>
        <v>Supplier E</v>
      </c>
    </row>
  </sheetData>
  <mergeCells count="1">
    <mergeCell ref="N2:N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zoomScale="115" zoomScaleNormal="115" workbookViewId="0">
      <selection activeCell="E7" sqref="E7"/>
    </sheetView>
  </sheetViews>
  <sheetFormatPr defaultRowHeight="15" x14ac:dyDescent="0.25"/>
  <cols>
    <col min="1" max="1" width="14.140625" bestFit="1" customWidth="1"/>
    <col min="2" max="11" width="11.7109375" customWidth="1"/>
  </cols>
  <sheetData>
    <row r="1" spans="1:11" ht="30" x14ac:dyDescent="0.25">
      <c r="A1" s="44" t="s">
        <v>35</v>
      </c>
      <c r="B1" s="44" t="s">
        <v>36</v>
      </c>
      <c r="C1" s="44" t="s">
        <v>3</v>
      </c>
      <c r="D1" s="44" t="s">
        <v>37</v>
      </c>
      <c r="E1" s="44" t="s">
        <v>38</v>
      </c>
      <c r="F1" s="44" t="s">
        <v>39</v>
      </c>
      <c r="G1" s="44" t="s">
        <v>40</v>
      </c>
      <c r="H1" s="21"/>
      <c r="I1" s="21"/>
      <c r="J1" s="21"/>
      <c r="K1" s="21"/>
    </row>
    <row r="2" spans="1:11" x14ac:dyDescent="0.25">
      <c r="A2" s="22" t="s">
        <v>41</v>
      </c>
      <c r="B2" s="22" t="s">
        <v>11</v>
      </c>
      <c r="C2" s="22" t="s">
        <v>12</v>
      </c>
      <c r="D2" s="22" t="s">
        <v>42</v>
      </c>
      <c r="E2" s="22">
        <v>50</v>
      </c>
      <c r="F2" s="22">
        <v>10</v>
      </c>
      <c r="G2" s="22" t="s">
        <v>43</v>
      </c>
      <c r="H2" s="21"/>
      <c r="I2" s="21"/>
      <c r="J2" s="21"/>
      <c r="K2" s="21"/>
    </row>
    <row r="3" spans="1:11" x14ac:dyDescent="0.25">
      <c r="A3" s="22" t="s">
        <v>44</v>
      </c>
      <c r="B3" s="22" t="s">
        <v>28</v>
      </c>
      <c r="C3" s="22" t="s">
        <v>12</v>
      </c>
      <c r="D3" s="22" t="s">
        <v>45</v>
      </c>
      <c r="E3" s="22">
        <v>30</v>
      </c>
      <c r="F3" s="22">
        <v>5</v>
      </c>
      <c r="G3" s="22" t="s">
        <v>46</v>
      </c>
      <c r="H3" s="21"/>
      <c r="I3" s="21"/>
      <c r="J3" s="21"/>
      <c r="K3" s="21"/>
    </row>
    <row r="4" spans="1:11" x14ac:dyDescent="0.25">
      <c r="A4" s="22" t="s">
        <v>47</v>
      </c>
      <c r="B4" s="22" t="s">
        <v>26</v>
      </c>
      <c r="C4" s="22" t="s">
        <v>12</v>
      </c>
      <c r="D4" s="22" t="s">
        <v>48</v>
      </c>
      <c r="E4" s="22">
        <v>20</v>
      </c>
      <c r="F4" s="22">
        <v>8</v>
      </c>
      <c r="G4" s="22" t="s">
        <v>49</v>
      </c>
      <c r="H4" s="21"/>
      <c r="I4" s="21"/>
      <c r="J4" s="21"/>
      <c r="K4" s="21"/>
    </row>
    <row r="5" spans="1:11" x14ac:dyDescent="0.25">
      <c r="A5" s="22" t="s">
        <v>50</v>
      </c>
      <c r="B5" s="22" t="s">
        <v>24</v>
      </c>
      <c r="C5" s="22" t="s">
        <v>21</v>
      </c>
      <c r="D5" s="22" t="s">
        <v>51</v>
      </c>
      <c r="E5" s="22">
        <v>100</v>
      </c>
      <c r="F5" s="22">
        <v>30</v>
      </c>
      <c r="G5" s="22" t="s">
        <v>52</v>
      </c>
      <c r="H5" s="21"/>
      <c r="I5" s="21"/>
      <c r="J5" s="21"/>
      <c r="K5" s="21"/>
    </row>
    <row r="6" spans="1:11" x14ac:dyDescent="0.25">
      <c r="A6" s="22" t="s">
        <v>53</v>
      </c>
      <c r="B6" s="22" t="s">
        <v>32</v>
      </c>
      <c r="C6" s="22" t="s">
        <v>12</v>
      </c>
      <c r="D6" s="22" t="s">
        <v>42</v>
      </c>
      <c r="E6" s="22">
        <v>15</v>
      </c>
      <c r="F6" s="22">
        <v>5</v>
      </c>
      <c r="G6" s="22" t="s">
        <v>43</v>
      </c>
      <c r="H6" s="21"/>
      <c r="I6" s="21"/>
      <c r="J6" s="21"/>
      <c r="K6" s="21"/>
    </row>
    <row r="7" spans="1:11" x14ac:dyDescent="0.25">
      <c r="A7" s="22" t="s">
        <v>54</v>
      </c>
      <c r="B7" s="22" t="s">
        <v>34</v>
      </c>
      <c r="C7" s="22" t="s">
        <v>19</v>
      </c>
      <c r="D7" s="22" t="s">
        <v>55</v>
      </c>
      <c r="E7" s="22">
        <v>80</v>
      </c>
      <c r="F7" s="22">
        <v>20</v>
      </c>
      <c r="G7" s="22" t="s">
        <v>46</v>
      </c>
      <c r="H7" s="21"/>
      <c r="I7" s="21"/>
      <c r="J7" s="21"/>
      <c r="K7" s="21"/>
    </row>
    <row r="8" spans="1:11" x14ac:dyDescent="0.25">
      <c r="A8" s="22" t="s">
        <v>56</v>
      </c>
      <c r="B8" s="22" t="s">
        <v>33</v>
      </c>
      <c r="C8" s="22" t="s">
        <v>19</v>
      </c>
      <c r="D8" s="22" t="s">
        <v>57</v>
      </c>
      <c r="E8" s="22">
        <v>40</v>
      </c>
      <c r="F8" s="22">
        <v>10</v>
      </c>
      <c r="G8" s="22" t="s">
        <v>49</v>
      </c>
      <c r="H8" s="21"/>
      <c r="I8" s="21"/>
      <c r="J8" s="21"/>
      <c r="K8" s="21"/>
    </row>
    <row r="9" spans="1:11" x14ac:dyDescent="0.25">
      <c r="A9" s="22" t="s">
        <v>58</v>
      </c>
      <c r="B9" s="22" t="s">
        <v>18</v>
      </c>
      <c r="C9" s="22" t="s">
        <v>12</v>
      </c>
      <c r="D9" s="22" t="s">
        <v>59</v>
      </c>
      <c r="E9" s="22">
        <v>12</v>
      </c>
      <c r="F9" s="22">
        <v>5</v>
      </c>
      <c r="G9" s="22" t="s">
        <v>52</v>
      </c>
      <c r="H9" s="21"/>
      <c r="I9" s="21"/>
      <c r="J9" s="21"/>
      <c r="K9" s="21"/>
    </row>
    <row r="10" spans="1:11" x14ac:dyDescent="0.25">
      <c r="A10" s="22" t="s">
        <v>60</v>
      </c>
      <c r="B10" s="22" t="s">
        <v>30</v>
      </c>
      <c r="C10" s="22" t="s">
        <v>27</v>
      </c>
      <c r="D10" s="22" t="s">
        <v>61</v>
      </c>
      <c r="E10" s="22">
        <v>10</v>
      </c>
      <c r="F10" s="22">
        <v>3</v>
      </c>
      <c r="G10" s="22" t="s">
        <v>43</v>
      </c>
      <c r="H10" s="21"/>
      <c r="I10" s="21"/>
      <c r="J10" s="21"/>
      <c r="K10" s="21"/>
    </row>
    <row r="11" spans="1:11" x14ac:dyDescent="0.25">
      <c r="A11" s="22" t="s">
        <v>62</v>
      </c>
      <c r="B11" s="22" t="s">
        <v>14</v>
      </c>
      <c r="C11" s="22" t="s">
        <v>21</v>
      </c>
      <c r="D11" s="22" t="s">
        <v>63</v>
      </c>
      <c r="E11" s="22">
        <v>150</v>
      </c>
      <c r="F11" s="22">
        <v>50</v>
      </c>
      <c r="G11" s="22" t="s">
        <v>46</v>
      </c>
      <c r="H11" s="21"/>
      <c r="I11" s="21"/>
      <c r="J11" s="21"/>
      <c r="K11" s="21"/>
    </row>
    <row r="12" spans="1:11" x14ac:dyDescent="0.25">
      <c r="A12" s="21"/>
      <c r="B12" s="21"/>
      <c r="C12" s="21"/>
      <c r="D12" s="21"/>
      <c r="E12" s="35"/>
      <c r="F12" s="35"/>
      <c r="G12" s="21"/>
      <c r="H12" s="21"/>
      <c r="I12" s="21"/>
      <c r="J12" s="21"/>
      <c r="K12" s="21"/>
    </row>
    <row r="13" spans="1:1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x14ac:dyDescent="0.25">
      <c r="A15" s="22" t="s">
        <v>2</v>
      </c>
      <c r="B15" s="22" t="s">
        <v>11</v>
      </c>
      <c r="C15" s="22" t="s">
        <v>14</v>
      </c>
      <c r="D15" s="22" t="s">
        <v>18</v>
      </c>
      <c r="E15" s="22" t="s">
        <v>26</v>
      </c>
      <c r="F15" s="22" t="s">
        <v>30</v>
      </c>
      <c r="G15" s="22" t="s">
        <v>24</v>
      </c>
      <c r="H15" s="22" t="s">
        <v>32</v>
      </c>
      <c r="I15" s="22" t="s">
        <v>33</v>
      </c>
      <c r="J15" s="22" t="s">
        <v>34</v>
      </c>
      <c r="K15" s="22" t="s">
        <v>28</v>
      </c>
    </row>
    <row r="16" spans="1:11" x14ac:dyDescent="0.25">
      <c r="A16" s="22" t="s">
        <v>3</v>
      </c>
      <c r="B16" s="22" t="s">
        <v>121</v>
      </c>
      <c r="C16" s="22" t="s">
        <v>122</v>
      </c>
      <c r="D16" s="22" t="s">
        <v>121</v>
      </c>
      <c r="E16" s="22" t="s">
        <v>121</v>
      </c>
      <c r="F16" s="22" t="s">
        <v>123</v>
      </c>
      <c r="G16" s="22" t="s">
        <v>122</v>
      </c>
      <c r="H16" s="22" t="s">
        <v>121</v>
      </c>
      <c r="I16" s="22" t="s">
        <v>124</v>
      </c>
      <c r="J16" s="22" t="s">
        <v>124</v>
      </c>
      <c r="K16" s="22" t="s">
        <v>121</v>
      </c>
    </row>
    <row r="17" spans="1:11" x14ac:dyDescent="0.25">
      <c r="A17" s="22" t="s">
        <v>37</v>
      </c>
      <c r="B17" s="22" t="s">
        <v>125</v>
      </c>
      <c r="C17" s="22" t="s">
        <v>126</v>
      </c>
      <c r="D17" s="22" t="s">
        <v>127</v>
      </c>
      <c r="E17" s="22" t="s">
        <v>128</v>
      </c>
      <c r="F17" s="22" t="s">
        <v>129</v>
      </c>
      <c r="G17" s="22" t="s">
        <v>130</v>
      </c>
      <c r="H17" s="22" t="s">
        <v>131</v>
      </c>
      <c r="I17" s="22" t="s">
        <v>132</v>
      </c>
      <c r="J17" s="22" t="s">
        <v>133</v>
      </c>
      <c r="K17" s="22" t="s">
        <v>134</v>
      </c>
    </row>
    <row r="18" spans="1:11" x14ac:dyDescent="0.25">
      <c r="A18" s="22" t="s">
        <v>38</v>
      </c>
      <c r="B18" s="22">
        <v>50</v>
      </c>
      <c r="C18" s="22">
        <v>150</v>
      </c>
      <c r="D18" s="22">
        <v>20</v>
      </c>
      <c r="E18" s="22">
        <v>30</v>
      </c>
      <c r="F18" s="22">
        <v>10</v>
      </c>
      <c r="G18" s="22">
        <v>80</v>
      </c>
      <c r="H18" s="22">
        <v>12</v>
      </c>
      <c r="I18" s="22">
        <v>40</v>
      </c>
      <c r="J18" s="22">
        <v>60</v>
      </c>
      <c r="K18" s="22">
        <v>30</v>
      </c>
    </row>
    <row r="19" spans="1:11" x14ac:dyDescent="0.25">
      <c r="A19" s="22" t="s">
        <v>39</v>
      </c>
      <c r="B19" s="22">
        <v>10</v>
      </c>
      <c r="C19" s="22">
        <v>50</v>
      </c>
      <c r="D19" s="22">
        <v>8</v>
      </c>
      <c r="E19" s="22">
        <v>10</v>
      </c>
      <c r="F19" s="22">
        <v>3</v>
      </c>
      <c r="G19" s="22">
        <v>20</v>
      </c>
      <c r="H19" s="22">
        <v>5</v>
      </c>
      <c r="I19" s="22">
        <v>10</v>
      </c>
      <c r="J19" s="22">
        <v>15</v>
      </c>
      <c r="K19" s="22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abSelected="1" workbookViewId="0">
      <selection activeCell="E15" sqref="E15"/>
    </sheetView>
  </sheetViews>
  <sheetFormatPr defaultRowHeight="15" x14ac:dyDescent="0.25"/>
  <cols>
    <col min="1" max="1" width="24.85546875" customWidth="1"/>
    <col min="2" max="2" width="21.28515625" bestFit="1" customWidth="1"/>
    <col min="3" max="3" width="16.28515625" customWidth="1"/>
    <col min="4" max="4" width="22.28515625" customWidth="1"/>
    <col min="5" max="5" width="10.42578125" bestFit="1" customWidth="1"/>
    <col min="6" max="7" width="14.42578125" customWidth="1"/>
    <col min="8" max="8" width="15.5703125" bestFit="1" customWidth="1"/>
    <col min="9" max="9" width="9.85546875" customWidth="1"/>
    <col min="10" max="10" width="20" customWidth="1"/>
  </cols>
  <sheetData>
    <row r="1" spans="1:11" x14ac:dyDescent="0.25">
      <c r="A1" s="7" t="s">
        <v>135</v>
      </c>
      <c r="B1" s="7" t="s">
        <v>64</v>
      </c>
      <c r="C1" s="7" t="s">
        <v>65</v>
      </c>
      <c r="D1" s="7" t="s">
        <v>66</v>
      </c>
      <c r="E1" s="7" t="s">
        <v>67</v>
      </c>
    </row>
    <row r="2" spans="1:11" x14ac:dyDescent="0.25">
      <c r="A2" s="4" t="s">
        <v>68</v>
      </c>
      <c r="B2" s="22" t="s">
        <v>146</v>
      </c>
      <c r="C2" s="4" t="s">
        <v>195</v>
      </c>
      <c r="D2" s="4" t="s">
        <v>142</v>
      </c>
      <c r="E2" s="4" t="s">
        <v>69</v>
      </c>
    </row>
    <row r="3" spans="1:11" x14ac:dyDescent="0.25">
      <c r="A3" s="4" t="s">
        <v>70</v>
      </c>
      <c r="B3" s="22" t="s">
        <v>147</v>
      </c>
      <c r="C3" s="4" t="s">
        <v>196</v>
      </c>
      <c r="D3" s="4" t="s">
        <v>140</v>
      </c>
      <c r="E3" s="4" t="s">
        <v>71</v>
      </c>
    </row>
    <row r="4" spans="1:11" x14ac:dyDescent="0.25">
      <c r="A4" s="4" t="s">
        <v>72</v>
      </c>
      <c r="B4" s="22" t="s">
        <v>148</v>
      </c>
      <c r="C4" s="4">
        <v>1234567890</v>
      </c>
      <c r="D4" s="4" t="s">
        <v>143</v>
      </c>
      <c r="E4" s="4" t="s">
        <v>73</v>
      </c>
    </row>
    <row r="5" spans="1:11" x14ac:dyDescent="0.25">
      <c r="A5" s="4" t="s">
        <v>74</v>
      </c>
      <c r="B5" s="22" t="s">
        <v>149</v>
      </c>
      <c r="C5" s="4" t="s">
        <v>197</v>
      </c>
      <c r="D5" s="4" t="s">
        <v>141</v>
      </c>
      <c r="E5" s="4" t="s">
        <v>75</v>
      </c>
    </row>
    <row r="6" spans="1:11" x14ac:dyDescent="0.25">
      <c r="A6" s="4" t="s">
        <v>76</v>
      </c>
      <c r="B6" s="22" t="s">
        <v>150</v>
      </c>
      <c r="C6" s="4">
        <v>9998887777</v>
      </c>
      <c r="D6" s="4" t="s">
        <v>144</v>
      </c>
      <c r="E6" s="4" t="s">
        <v>77</v>
      </c>
    </row>
    <row r="7" spans="1:11" x14ac:dyDescent="0.25">
      <c r="A7" s="23"/>
      <c r="B7" s="24"/>
      <c r="C7" s="23"/>
      <c r="D7" s="23"/>
      <c r="E7" s="23"/>
    </row>
    <row r="8" spans="1:11" ht="45" x14ac:dyDescent="0.25">
      <c r="A8" s="14" t="s">
        <v>175</v>
      </c>
      <c r="B8" s="14" t="s">
        <v>176</v>
      </c>
      <c r="C8" s="36" t="s">
        <v>65</v>
      </c>
      <c r="D8" s="14" t="s">
        <v>177</v>
      </c>
      <c r="E8" s="41" t="s">
        <v>188</v>
      </c>
      <c r="F8" s="14" t="s">
        <v>178</v>
      </c>
      <c r="G8" s="41" t="s">
        <v>199</v>
      </c>
      <c r="H8" s="14" t="s">
        <v>179</v>
      </c>
      <c r="I8" s="14" t="s">
        <v>180</v>
      </c>
      <c r="J8" s="41" t="s">
        <v>200</v>
      </c>
      <c r="K8" s="58" t="s">
        <v>201</v>
      </c>
    </row>
    <row r="9" spans="1:11" x14ac:dyDescent="0.25">
      <c r="A9" s="4" t="str">
        <f>PROPER(A2)</f>
        <v>Alice Johnson</v>
      </c>
      <c r="B9" s="4" t="str">
        <f>LOWER(B2)</f>
        <v>alice@google.com</v>
      </c>
      <c r="C9" s="4" t="str">
        <f>SUBSTITUTE(C2,"-","")</f>
        <v>(123) 4567890</v>
      </c>
      <c r="D9" s="4" t="str">
        <f>TRIM(D2)</f>
        <v>123 Main St, City A</v>
      </c>
      <c r="E9" s="4" t="str">
        <f t="shared" ref="E9:E12" si="0">UPPER(E2)</f>
        <v>USA</v>
      </c>
      <c r="F9" s="5">
        <f t="shared" ref="F9:F13" si="1">FIND(" ",A9)</f>
        <v>6</v>
      </c>
      <c r="G9" s="5" t="str">
        <f>LEFT(A9,FIND(" ",A9,1)-1)</f>
        <v>Alice</v>
      </c>
      <c r="H9" s="4" t="str">
        <f>LEFT(A9,F9)</f>
        <v xml:space="preserve">Alice </v>
      </c>
      <c r="I9" s="5">
        <f>LEN(A9)</f>
        <v>13</v>
      </c>
      <c r="J9" s="4" t="str">
        <f>RIGHT(A9,I9-F9)</f>
        <v>Johnson</v>
      </c>
      <c r="K9" t="str">
        <f>RIGHT(A9,LEN(A9)-FIND(" ",A9,1))</f>
        <v>Johnson</v>
      </c>
    </row>
    <row r="10" spans="1:11" x14ac:dyDescent="0.25">
      <c r="A10" s="4" t="str">
        <f t="shared" ref="A10:A13" si="2">PROPER(A3)</f>
        <v>Bob Martin</v>
      </c>
      <c r="B10" s="4" t="str">
        <f t="shared" ref="B10:B13" si="3">LOWER(B3)</f>
        <v>bob@yahoo.com</v>
      </c>
      <c r="C10" s="4"/>
      <c r="D10" s="4" t="str">
        <f t="shared" ref="D10:D13" si="4">TRIM(D3)</f>
        <v>456 Elm St, City B</v>
      </c>
      <c r="E10" s="4" t="str">
        <f t="shared" si="0"/>
        <v>UK</v>
      </c>
      <c r="F10" s="5">
        <f t="shared" si="1"/>
        <v>4</v>
      </c>
      <c r="G10" s="5" t="str">
        <f t="shared" ref="G10:G15" si="5">LEFT(A10,FIND(" ",A10,1)-1)</f>
        <v>Bob</v>
      </c>
      <c r="H10" s="4" t="str">
        <f>LEFT(A10,F10)</f>
        <v xml:space="preserve">Bob </v>
      </c>
      <c r="I10" s="5">
        <f>LEN(A10)</f>
        <v>10</v>
      </c>
      <c r="J10" s="4" t="str">
        <f>RIGHT(A10,I10-F10)</f>
        <v>Martin</v>
      </c>
      <c r="K10" t="str">
        <f t="shared" ref="K10:K16" si="6">RIGHT(A10,LEN(A10)-FIND(" ",A10,1))</f>
        <v>Martin</v>
      </c>
    </row>
    <row r="11" spans="1:11" x14ac:dyDescent="0.25">
      <c r="A11" s="4" t="str">
        <f t="shared" si="2"/>
        <v>Charlie Brown</v>
      </c>
      <c r="B11" s="4" t="str">
        <f t="shared" si="3"/>
        <v>charlie@yahoo.com</v>
      </c>
      <c r="C11" s="4"/>
      <c r="D11" s="4" t="str">
        <f t="shared" si="4"/>
        <v>789 Oak St, City C</v>
      </c>
      <c r="E11" s="4" t="str">
        <f t="shared" si="0"/>
        <v>CANADA</v>
      </c>
      <c r="F11" s="5">
        <f>FIND(" ",A11)</f>
        <v>8</v>
      </c>
      <c r="G11" s="5" t="str">
        <f t="shared" si="5"/>
        <v>Charlie</v>
      </c>
      <c r="H11" s="4" t="str">
        <f>LEFT(A11,F11)</f>
        <v xml:space="preserve">Charlie </v>
      </c>
      <c r="I11" s="5">
        <f>LEN(A11)</f>
        <v>13</v>
      </c>
      <c r="J11" s="4" t="str">
        <f>RIGHT(A11,I11-F11)</f>
        <v>Brown</v>
      </c>
      <c r="K11" t="str">
        <f t="shared" si="6"/>
        <v>Brown</v>
      </c>
    </row>
    <row r="12" spans="1:11" x14ac:dyDescent="0.25">
      <c r="A12" s="4" t="str">
        <f t="shared" si="2"/>
        <v>Dave White</v>
      </c>
      <c r="B12" s="4" t="str">
        <f t="shared" si="3"/>
        <v>dave@google.com</v>
      </c>
      <c r="C12" s="4"/>
      <c r="D12" s="4" t="str">
        <f t="shared" si="4"/>
        <v>101 Pine St, City D</v>
      </c>
      <c r="E12" s="4" t="str">
        <f t="shared" si="0"/>
        <v>AUSTRALIA</v>
      </c>
      <c r="F12" s="5">
        <f t="shared" si="1"/>
        <v>5</v>
      </c>
      <c r="G12" s="5" t="str">
        <f t="shared" si="5"/>
        <v>Dave</v>
      </c>
      <c r="H12" s="4" t="str">
        <f>LEFT(A12,F12)</f>
        <v xml:space="preserve">Dave </v>
      </c>
      <c r="I12" s="5">
        <f>LEN(A12)</f>
        <v>10</v>
      </c>
      <c r="J12" s="4" t="str">
        <f>RIGHT(A12,I12-F12)</f>
        <v>White</v>
      </c>
      <c r="K12" t="str">
        <f t="shared" si="6"/>
        <v>White</v>
      </c>
    </row>
    <row r="13" spans="1:11" x14ac:dyDescent="0.25">
      <c r="A13" s="4" t="str">
        <f t="shared" si="2"/>
        <v>Eve Smith</v>
      </c>
      <c r="B13" s="4" t="str">
        <f t="shared" si="3"/>
        <v>eve@google.com</v>
      </c>
      <c r="C13" s="4"/>
      <c r="D13" s="4" t="str">
        <f t="shared" si="4"/>
        <v>222 Maple St, City E</v>
      </c>
      <c r="E13" s="4" t="str">
        <f>UPPER(E6)</f>
        <v>GERMANY</v>
      </c>
      <c r="F13" s="5">
        <f t="shared" si="1"/>
        <v>4</v>
      </c>
      <c r="G13" s="5" t="str">
        <f t="shared" si="5"/>
        <v>Eve</v>
      </c>
      <c r="H13" s="4" t="str">
        <f>LEFT(A13,F13)</f>
        <v xml:space="preserve">Eve </v>
      </c>
      <c r="I13" s="5">
        <f>LEN(A13)</f>
        <v>9</v>
      </c>
      <c r="J13" s="4" t="str">
        <f>RIGHT(A13,I13-F13)</f>
        <v>Smith</v>
      </c>
      <c r="K13" t="str">
        <f t="shared" si="6"/>
        <v>Smith</v>
      </c>
    </row>
    <row r="14" spans="1:11" x14ac:dyDescent="0.25">
      <c r="F14" t="s">
        <v>189</v>
      </c>
    </row>
    <row r="15" spans="1:11" x14ac:dyDescent="0.25">
      <c r="F15" t="s">
        <v>190</v>
      </c>
      <c r="G15" s="5" t="s">
        <v>191</v>
      </c>
      <c r="H15" s="4" t="s">
        <v>180</v>
      </c>
      <c r="I15" s="5" t="s">
        <v>198</v>
      </c>
      <c r="J15" s="4"/>
    </row>
    <row r="16" spans="1:11" x14ac:dyDescent="0.25">
      <c r="A16" t="s">
        <v>189</v>
      </c>
      <c r="F16">
        <f>FIND(" ",F14)</f>
        <v>5</v>
      </c>
      <c r="G16" s="5">
        <f>FIND(" ",F14,6)</f>
        <v>17</v>
      </c>
      <c r="H16" s="4">
        <f>LEN(F14)</f>
        <v>22</v>
      </c>
      <c r="I16" s="5">
        <f>LEN(A16)</f>
        <v>22</v>
      </c>
      <c r="J16" s="4" t="str">
        <f>RIGHT(A16,I16-F16)</f>
        <v>Rabiulardan Hatta</v>
      </c>
      <c r="K16" t="str">
        <f t="shared" si="6"/>
        <v>Rabiulardan Hatta</v>
      </c>
    </row>
    <row r="18" spans="1:8" x14ac:dyDescent="0.25">
      <c r="A18" s="25" t="s">
        <v>156</v>
      </c>
      <c r="F18" t="str">
        <f>MID(F14,F16+1,H16-G16)</f>
        <v>Rabiu</v>
      </c>
    </row>
    <row r="19" spans="1:8" x14ac:dyDescent="0.25">
      <c r="A19" t="s">
        <v>136</v>
      </c>
      <c r="H19" s="13"/>
    </row>
    <row r="20" spans="1:8" x14ac:dyDescent="0.25">
      <c r="A20" t="s">
        <v>137</v>
      </c>
    </row>
    <row r="21" spans="1:8" x14ac:dyDescent="0.25">
      <c r="A21" t="s">
        <v>138</v>
      </c>
    </row>
    <row r="22" spans="1:8" x14ac:dyDescent="0.25">
      <c r="A22" s="20" t="s">
        <v>139</v>
      </c>
    </row>
    <row r="23" spans="1:8" x14ac:dyDescent="0.25">
      <c r="A23" t="s">
        <v>145</v>
      </c>
    </row>
    <row r="24" spans="1:8" x14ac:dyDescent="0.25">
      <c r="H24" s="13"/>
    </row>
    <row r="26" spans="1:8" x14ac:dyDescent="0.25">
      <c r="A26" s="18" t="s">
        <v>151</v>
      </c>
    </row>
    <row r="27" spans="1:8" x14ac:dyDescent="0.25">
      <c r="A27" t="s">
        <v>152</v>
      </c>
    </row>
    <row r="28" spans="1:8" x14ac:dyDescent="0.25">
      <c r="A28" t="s">
        <v>153</v>
      </c>
      <c r="H28" s="37"/>
    </row>
    <row r="29" spans="1:8" x14ac:dyDescent="0.25">
      <c r="A29" t="s">
        <v>154</v>
      </c>
    </row>
    <row r="30" spans="1:8" x14ac:dyDescent="0.25">
      <c r="A30" t="s">
        <v>155</v>
      </c>
    </row>
    <row r="32" spans="1:8" x14ac:dyDescent="0.25">
      <c r="A32" s="2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1"/>
  <sheetViews>
    <sheetView workbookViewId="0">
      <selection activeCell="J2" sqref="J2"/>
    </sheetView>
  </sheetViews>
  <sheetFormatPr defaultRowHeight="15" x14ac:dyDescent="0.25"/>
  <cols>
    <col min="2" max="2" width="17.7109375" customWidth="1"/>
    <col min="5" max="5" width="13.85546875" bestFit="1" customWidth="1"/>
    <col min="7" max="7" width="13.28515625" customWidth="1"/>
    <col min="10" max="10" width="14.85546875" customWidth="1"/>
    <col min="11" max="11" width="11.28515625" bestFit="1" customWidth="1"/>
    <col min="12" max="12" width="11.28515625" customWidth="1"/>
    <col min="13" max="14" width="10.140625" customWidth="1"/>
    <col min="15" max="15" width="10.85546875" customWidth="1"/>
    <col min="16" max="16" width="11.28515625" customWidth="1"/>
    <col min="17" max="17" width="13.7109375" customWidth="1"/>
    <col min="18" max="18" width="11.7109375" customWidth="1"/>
    <col min="19" max="19" width="13.7109375" customWidth="1"/>
  </cols>
  <sheetData>
    <row r="1" spans="1:18" ht="45" x14ac:dyDescent="0.25">
      <c r="A1" s="19" t="s">
        <v>0</v>
      </c>
      <c r="B1" s="19" t="s">
        <v>108</v>
      </c>
      <c r="C1" s="19" t="s">
        <v>1</v>
      </c>
      <c r="D1" s="19" t="s">
        <v>2</v>
      </c>
      <c r="E1" s="19" t="s">
        <v>160</v>
      </c>
      <c r="F1" s="19" t="s">
        <v>4</v>
      </c>
      <c r="G1" s="19" t="s">
        <v>157</v>
      </c>
      <c r="H1" s="19" t="s">
        <v>5</v>
      </c>
      <c r="I1" s="19" t="s">
        <v>158</v>
      </c>
      <c r="J1" s="19" t="s">
        <v>6</v>
      </c>
      <c r="K1" s="19" t="s">
        <v>7</v>
      </c>
      <c r="L1" s="19" t="s">
        <v>159</v>
      </c>
      <c r="M1" s="19" t="s">
        <v>8</v>
      </c>
      <c r="N1" s="27" t="s">
        <v>3</v>
      </c>
      <c r="O1" s="27" t="s">
        <v>37</v>
      </c>
      <c r="P1" s="27" t="s">
        <v>38</v>
      </c>
      <c r="Q1" s="27" t="s">
        <v>39</v>
      </c>
      <c r="R1" s="27" t="s">
        <v>40</v>
      </c>
    </row>
    <row r="2" spans="1:18" x14ac:dyDescent="0.25">
      <c r="A2">
        <v>1001</v>
      </c>
      <c r="B2" t="s">
        <v>9</v>
      </c>
      <c r="C2" t="s">
        <v>10</v>
      </c>
      <c r="D2" t="s">
        <v>11</v>
      </c>
      <c r="E2" s="10">
        <v>4612059</v>
      </c>
      <c r="F2" s="12">
        <v>0.1</v>
      </c>
      <c r="G2" s="10"/>
      <c r="H2">
        <v>20</v>
      </c>
      <c r="J2" t="s">
        <v>13</v>
      </c>
      <c r="K2" s="10">
        <v>327163</v>
      </c>
      <c r="L2" s="10"/>
      <c r="M2">
        <v>2</v>
      </c>
      <c r="N2" s="9"/>
    </row>
    <row r="3" spans="1:18" x14ac:dyDescent="0.25">
      <c r="A3">
        <v>1002</v>
      </c>
      <c r="B3" t="s">
        <v>9</v>
      </c>
      <c r="C3" t="s">
        <v>10</v>
      </c>
      <c r="D3" t="s">
        <v>14</v>
      </c>
      <c r="E3" s="10">
        <v>415612</v>
      </c>
      <c r="F3" s="12">
        <v>0.17</v>
      </c>
      <c r="G3" s="12"/>
      <c r="H3">
        <v>1</v>
      </c>
      <c r="J3" t="s">
        <v>15</v>
      </c>
      <c r="K3" s="10">
        <v>783312</v>
      </c>
      <c r="L3" s="10"/>
      <c r="M3">
        <v>7</v>
      </c>
    </row>
    <row r="4" spans="1:18" x14ac:dyDescent="0.25">
      <c r="A4">
        <v>1003</v>
      </c>
      <c r="B4" t="s">
        <v>16</v>
      </c>
      <c r="C4" t="s">
        <v>17</v>
      </c>
      <c r="D4" t="s">
        <v>18</v>
      </c>
      <c r="E4" s="10">
        <v>1725042</v>
      </c>
      <c r="F4" s="12">
        <v>0.2</v>
      </c>
      <c r="G4" s="12"/>
      <c r="H4">
        <v>17</v>
      </c>
      <c r="J4" t="s">
        <v>20</v>
      </c>
      <c r="K4" s="10">
        <v>573976</v>
      </c>
      <c r="L4" s="10"/>
      <c r="M4">
        <v>7</v>
      </c>
    </row>
    <row r="5" spans="1:18" x14ac:dyDescent="0.25">
      <c r="A5">
        <v>1004</v>
      </c>
      <c r="B5" t="s">
        <v>9</v>
      </c>
      <c r="C5" t="s">
        <v>17</v>
      </c>
      <c r="D5" t="s">
        <v>11</v>
      </c>
      <c r="E5" s="10">
        <v>32495820</v>
      </c>
      <c r="F5" s="12">
        <v>0.19</v>
      </c>
      <c r="G5" s="12"/>
      <c r="H5">
        <v>12</v>
      </c>
      <c r="J5" t="s">
        <v>20</v>
      </c>
      <c r="K5" s="10">
        <v>715388</v>
      </c>
      <c r="L5" s="10"/>
      <c r="M5">
        <v>8</v>
      </c>
    </row>
    <row r="6" spans="1:18" x14ac:dyDescent="0.25">
      <c r="A6">
        <v>1005</v>
      </c>
      <c r="B6" t="s">
        <v>22</v>
      </c>
      <c r="C6" t="s">
        <v>23</v>
      </c>
      <c r="D6" t="s">
        <v>24</v>
      </c>
      <c r="E6" s="10">
        <v>381259</v>
      </c>
      <c r="F6" s="12">
        <v>0.08</v>
      </c>
      <c r="G6" s="12"/>
      <c r="H6">
        <v>9</v>
      </c>
      <c r="J6" t="s">
        <v>15</v>
      </c>
      <c r="K6" s="10">
        <v>516373</v>
      </c>
      <c r="L6" s="10"/>
      <c r="M6">
        <v>1</v>
      </c>
    </row>
    <row r="7" spans="1:18" x14ac:dyDescent="0.25">
      <c r="A7">
        <v>1006</v>
      </c>
      <c r="B7" t="s">
        <v>9</v>
      </c>
      <c r="C7" t="s">
        <v>25</v>
      </c>
      <c r="D7" t="s">
        <v>26</v>
      </c>
      <c r="E7" s="10">
        <v>3517798</v>
      </c>
      <c r="F7" s="12">
        <v>0.08</v>
      </c>
      <c r="G7" s="12"/>
      <c r="H7">
        <v>5</v>
      </c>
      <c r="J7" t="s">
        <v>13</v>
      </c>
      <c r="K7" s="10">
        <v>488560</v>
      </c>
      <c r="L7" s="10"/>
      <c r="M7">
        <v>4</v>
      </c>
    </row>
    <row r="8" spans="1:18" x14ac:dyDescent="0.25">
      <c r="A8">
        <v>1007</v>
      </c>
      <c r="B8" t="s">
        <v>9</v>
      </c>
      <c r="C8" t="s">
        <v>17</v>
      </c>
      <c r="D8" t="s">
        <v>18</v>
      </c>
      <c r="E8" s="10">
        <v>4056860</v>
      </c>
      <c r="F8" s="12">
        <v>0.14000000000000001</v>
      </c>
      <c r="G8" s="12"/>
      <c r="H8">
        <v>9</v>
      </c>
      <c r="J8" t="s">
        <v>13</v>
      </c>
      <c r="K8" s="10">
        <v>541297</v>
      </c>
      <c r="L8" s="10"/>
      <c r="M8">
        <v>6</v>
      </c>
    </row>
    <row r="9" spans="1:18" x14ac:dyDescent="0.25">
      <c r="A9">
        <v>1008</v>
      </c>
      <c r="B9" t="s">
        <v>16</v>
      </c>
      <c r="C9" t="s">
        <v>17</v>
      </c>
      <c r="D9" t="s">
        <v>28</v>
      </c>
      <c r="E9" s="10">
        <v>9154155</v>
      </c>
      <c r="F9" s="12">
        <v>0.2</v>
      </c>
      <c r="G9" s="12"/>
      <c r="H9">
        <v>12</v>
      </c>
      <c r="J9" t="s">
        <v>15</v>
      </c>
      <c r="K9" s="10">
        <v>568288</v>
      </c>
      <c r="L9" s="10"/>
      <c r="M9">
        <v>7</v>
      </c>
    </row>
    <row r="10" spans="1:18" x14ac:dyDescent="0.25">
      <c r="A10">
        <v>1009</v>
      </c>
      <c r="B10" t="s">
        <v>29</v>
      </c>
      <c r="C10" t="s">
        <v>17</v>
      </c>
      <c r="D10" t="s">
        <v>30</v>
      </c>
      <c r="E10" s="10">
        <v>4734466</v>
      </c>
      <c r="F10" s="12">
        <v>0.16</v>
      </c>
      <c r="G10" s="12"/>
      <c r="H10">
        <v>16</v>
      </c>
      <c r="J10" t="s">
        <v>15</v>
      </c>
      <c r="K10" s="10">
        <v>652076</v>
      </c>
      <c r="L10" s="10"/>
      <c r="M10">
        <v>13</v>
      </c>
    </row>
    <row r="11" spans="1:18" x14ac:dyDescent="0.25">
      <c r="A11">
        <v>1010</v>
      </c>
      <c r="B11" t="s">
        <v>31</v>
      </c>
      <c r="C11" t="s">
        <v>17</v>
      </c>
      <c r="D11" t="s">
        <v>24</v>
      </c>
      <c r="E11" s="10">
        <v>235319</v>
      </c>
      <c r="F11" s="12">
        <v>0.14000000000000001</v>
      </c>
      <c r="G11" s="12"/>
      <c r="H11">
        <v>20</v>
      </c>
      <c r="J11" t="s">
        <v>13</v>
      </c>
      <c r="K11" s="10">
        <v>394800</v>
      </c>
      <c r="L11" s="10"/>
      <c r="M11">
        <v>2</v>
      </c>
    </row>
    <row r="12" spans="1:18" x14ac:dyDescent="0.25">
      <c r="A12">
        <v>1011</v>
      </c>
      <c r="B12" t="s">
        <v>29</v>
      </c>
      <c r="C12" t="s">
        <v>23</v>
      </c>
      <c r="D12" t="s">
        <v>26</v>
      </c>
      <c r="E12" s="10">
        <v>14931496</v>
      </c>
      <c r="F12" s="12">
        <v>0.11</v>
      </c>
      <c r="G12" s="12"/>
      <c r="H12">
        <v>14</v>
      </c>
      <c r="J12" t="s">
        <v>20</v>
      </c>
      <c r="K12" s="10">
        <v>660012</v>
      </c>
      <c r="L12" s="10"/>
      <c r="M12">
        <v>4</v>
      </c>
    </row>
    <row r="13" spans="1:18" x14ac:dyDescent="0.25">
      <c r="A13">
        <v>1012</v>
      </c>
      <c r="B13" t="s">
        <v>31</v>
      </c>
      <c r="C13" t="s">
        <v>23</v>
      </c>
      <c r="D13" t="s">
        <v>24</v>
      </c>
      <c r="E13" s="10">
        <v>265689</v>
      </c>
      <c r="F13" s="12">
        <v>0.08</v>
      </c>
      <c r="G13" s="12"/>
      <c r="H13">
        <v>9</v>
      </c>
      <c r="J13" t="s">
        <v>20</v>
      </c>
      <c r="K13" s="10">
        <v>609492</v>
      </c>
      <c r="L13" s="10"/>
      <c r="M13">
        <v>3</v>
      </c>
    </row>
    <row r="14" spans="1:18" x14ac:dyDescent="0.25">
      <c r="A14">
        <v>1013</v>
      </c>
      <c r="B14" t="s">
        <v>16</v>
      </c>
      <c r="C14" t="s">
        <v>17</v>
      </c>
      <c r="D14" t="s">
        <v>32</v>
      </c>
      <c r="E14" s="10">
        <v>5190626</v>
      </c>
      <c r="F14" s="12">
        <v>7.0000000000000007E-2</v>
      </c>
      <c r="G14" s="12"/>
      <c r="H14">
        <v>18</v>
      </c>
      <c r="J14" t="s">
        <v>15</v>
      </c>
      <c r="K14" s="10">
        <v>323779</v>
      </c>
      <c r="L14" s="10"/>
      <c r="M14">
        <v>14</v>
      </c>
    </row>
    <row r="15" spans="1:18" x14ac:dyDescent="0.25">
      <c r="A15">
        <v>1014</v>
      </c>
      <c r="B15" t="s">
        <v>29</v>
      </c>
      <c r="C15" t="s">
        <v>17</v>
      </c>
      <c r="D15" t="s">
        <v>18</v>
      </c>
      <c r="E15" s="10">
        <v>896833</v>
      </c>
      <c r="F15" s="12">
        <v>0.13</v>
      </c>
      <c r="G15" s="12"/>
      <c r="H15">
        <v>11</v>
      </c>
      <c r="J15" t="s">
        <v>13</v>
      </c>
      <c r="K15" s="10">
        <v>810685</v>
      </c>
      <c r="L15" s="10"/>
      <c r="M15">
        <v>5</v>
      </c>
    </row>
    <row r="16" spans="1:18" x14ac:dyDescent="0.25">
      <c r="A16">
        <v>1015</v>
      </c>
      <c r="B16" t="s">
        <v>16</v>
      </c>
      <c r="C16" t="s">
        <v>23</v>
      </c>
      <c r="D16" t="s">
        <v>14</v>
      </c>
      <c r="E16" s="10">
        <v>384978</v>
      </c>
      <c r="F16" s="12">
        <v>0.18</v>
      </c>
      <c r="G16" s="12"/>
      <c r="H16">
        <v>14</v>
      </c>
      <c r="J16" t="s">
        <v>20</v>
      </c>
      <c r="K16" s="10">
        <v>278811</v>
      </c>
      <c r="L16" s="10"/>
      <c r="M16">
        <v>4</v>
      </c>
    </row>
    <row r="17" spans="1:13" x14ac:dyDescent="0.25">
      <c r="A17">
        <v>1016</v>
      </c>
      <c r="B17" t="s">
        <v>16</v>
      </c>
      <c r="C17" t="s">
        <v>10</v>
      </c>
      <c r="D17" t="s">
        <v>33</v>
      </c>
      <c r="E17" s="10">
        <v>4123619</v>
      </c>
      <c r="F17" s="12">
        <v>0.08</v>
      </c>
      <c r="G17" s="12"/>
      <c r="H17">
        <v>8</v>
      </c>
      <c r="J17" t="s">
        <v>20</v>
      </c>
      <c r="K17" s="10">
        <v>453188</v>
      </c>
      <c r="L17" s="10"/>
      <c r="M17">
        <v>12</v>
      </c>
    </row>
    <row r="18" spans="1:13" x14ac:dyDescent="0.25">
      <c r="A18">
        <v>1017</v>
      </c>
      <c r="B18" t="s">
        <v>22</v>
      </c>
      <c r="C18" t="s">
        <v>25</v>
      </c>
      <c r="D18" t="s">
        <v>30</v>
      </c>
      <c r="E18" s="10">
        <v>1460409</v>
      </c>
      <c r="F18" s="12">
        <v>0.19</v>
      </c>
      <c r="G18" s="12"/>
      <c r="H18">
        <v>2</v>
      </c>
      <c r="J18" t="s">
        <v>20</v>
      </c>
      <c r="K18" s="10">
        <v>419274</v>
      </c>
      <c r="L18" s="10"/>
      <c r="M18">
        <v>4</v>
      </c>
    </row>
    <row r="19" spans="1:13" x14ac:dyDescent="0.25">
      <c r="A19">
        <v>1018</v>
      </c>
      <c r="B19" t="s">
        <v>9</v>
      </c>
      <c r="C19" t="s">
        <v>25</v>
      </c>
      <c r="D19" t="s">
        <v>11</v>
      </c>
      <c r="E19" s="10">
        <v>21042743</v>
      </c>
      <c r="F19" s="12">
        <v>0.11</v>
      </c>
      <c r="G19" s="12"/>
      <c r="H19">
        <v>18</v>
      </c>
      <c r="J19" t="s">
        <v>13</v>
      </c>
      <c r="K19" s="10">
        <v>355153</v>
      </c>
      <c r="L19" s="10"/>
      <c r="M19">
        <v>4</v>
      </c>
    </row>
    <row r="20" spans="1:13" x14ac:dyDescent="0.25">
      <c r="A20">
        <v>1019</v>
      </c>
      <c r="B20" t="s">
        <v>31</v>
      </c>
      <c r="C20" t="s">
        <v>23</v>
      </c>
      <c r="D20" t="s">
        <v>34</v>
      </c>
      <c r="E20" s="10">
        <v>2080084</v>
      </c>
      <c r="F20" s="12">
        <v>0.13</v>
      </c>
      <c r="G20" s="12"/>
      <c r="H20">
        <v>10</v>
      </c>
      <c r="J20" t="s">
        <v>13</v>
      </c>
      <c r="K20" s="10">
        <v>974303</v>
      </c>
      <c r="L20" s="10"/>
      <c r="M20">
        <v>8</v>
      </c>
    </row>
    <row r="21" spans="1:13" x14ac:dyDescent="0.25">
      <c r="A21">
        <v>1020</v>
      </c>
      <c r="B21" t="s">
        <v>29</v>
      </c>
      <c r="C21" t="s">
        <v>25</v>
      </c>
      <c r="D21" t="s">
        <v>14</v>
      </c>
      <c r="E21" s="10">
        <v>348044</v>
      </c>
      <c r="F21" s="12">
        <v>0.06</v>
      </c>
      <c r="G21" s="12"/>
      <c r="H21">
        <v>1</v>
      </c>
      <c r="J21" t="s">
        <v>15</v>
      </c>
      <c r="K21" s="10">
        <v>303630</v>
      </c>
      <c r="L21" s="10"/>
      <c r="M21">
        <v>4</v>
      </c>
    </row>
    <row r="22" spans="1:13" x14ac:dyDescent="0.25">
      <c r="A22">
        <v>1021</v>
      </c>
      <c r="B22" t="s">
        <v>9</v>
      </c>
      <c r="C22" t="s">
        <v>23</v>
      </c>
      <c r="D22" t="s">
        <v>11</v>
      </c>
      <c r="E22" s="10">
        <v>20434309</v>
      </c>
      <c r="F22" s="12">
        <v>0.17</v>
      </c>
      <c r="G22" s="12"/>
      <c r="H22">
        <v>8</v>
      </c>
      <c r="J22" t="s">
        <v>20</v>
      </c>
      <c r="K22" s="10">
        <v>463882</v>
      </c>
      <c r="L22" s="10"/>
      <c r="M22">
        <v>9</v>
      </c>
    </row>
    <row r="23" spans="1:13" x14ac:dyDescent="0.25">
      <c r="A23">
        <v>1022</v>
      </c>
      <c r="B23" t="s">
        <v>29</v>
      </c>
      <c r="C23" t="s">
        <v>25</v>
      </c>
      <c r="D23" t="s">
        <v>26</v>
      </c>
      <c r="E23" s="10">
        <v>11516290</v>
      </c>
      <c r="F23" s="12">
        <v>0.05</v>
      </c>
      <c r="G23" s="12"/>
      <c r="H23">
        <v>8</v>
      </c>
      <c r="J23" t="s">
        <v>15</v>
      </c>
      <c r="K23" s="10">
        <v>533058</v>
      </c>
      <c r="L23" s="10"/>
      <c r="M23">
        <v>5</v>
      </c>
    </row>
    <row r="24" spans="1:13" x14ac:dyDescent="0.25">
      <c r="A24">
        <v>1023</v>
      </c>
      <c r="B24" t="s">
        <v>29</v>
      </c>
      <c r="C24" t="s">
        <v>23</v>
      </c>
      <c r="D24" t="s">
        <v>26</v>
      </c>
      <c r="E24" s="10">
        <v>3654025</v>
      </c>
      <c r="F24" s="12">
        <v>0.14000000000000001</v>
      </c>
      <c r="G24" s="12"/>
      <c r="H24">
        <v>10</v>
      </c>
      <c r="J24" t="s">
        <v>15</v>
      </c>
      <c r="K24" s="10">
        <v>463127</v>
      </c>
      <c r="L24" s="10"/>
      <c r="M24">
        <v>12</v>
      </c>
    </row>
    <row r="25" spans="1:13" x14ac:dyDescent="0.25">
      <c r="A25">
        <v>1024</v>
      </c>
      <c r="B25" t="s">
        <v>9</v>
      </c>
      <c r="C25" t="s">
        <v>17</v>
      </c>
      <c r="D25" t="s">
        <v>24</v>
      </c>
      <c r="E25" s="10">
        <v>430932</v>
      </c>
      <c r="F25" s="12">
        <v>0.2</v>
      </c>
      <c r="G25" s="12"/>
      <c r="H25">
        <v>14</v>
      </c>
      <c r="J25" t="s">
        <v>15</v>
      </c>
      <c r="K25" s="10">
        <v>736463</v>
      </c>
      <c r="L25" s="10"/>
      <c r="M25">
        <v>3</v>
      </c>
    </row>
    <row r="26" spans="1:13" x14ac:dyDescent="0.25">
      <c r="A26">
        <v>1025</v>
      </c>
      <c r="B26" t="s">
        <v>9</v>
      </c>
      <c r="C26" t="s">
        <v>25</v>
      </c>
      <c r="D26" t="s">
        <v>28</v>
      </c>
      <c r="E26" s="10">
        <v>3965112</v>
      </c>
      <c r="F26" s="12">
        <v>0.13</v>
      </c>
      <c r="G26" s="12"/>
      <c r="H26">
        <v>3</v>
      </c>
      <c r="J26" t="s">
        <v>20</v>
      </c>
      <c r="K26" s="10">
        <v>688804</v>
      </c>
      <c r="L26" s="10"/>
      <c r="M26">
        <v>10</v>
      </c>
    </row>
    <row r="27" spans="1:13" x14ac:dyDescent="0.25">
      <c r="A27">
        <v>1026</v>
      </c>
      <c r="B27" t="s">
        <v>9</v>
      </c>
      <c r="C27" t="s">
        <v>23</v>
      </c>
      <c r="D27" t="s">
        <v>11</v>
      </c>
      <c r="E27" s="10">
        <v>23852742</v>
      </c>
      <c r="F27" s="12">
        <v>0.14000000000000001</v>
      </c>
      <c r="G27" s="12"/>
      <c r="H27">
        <v>6</v>
      </c>
      <c r="J27" t="s">
        <v>15</v>
      </c>
      <c r="K27" s="10">
        <v>168814</v>
      </c>
      <c r="L27" s="10"/>
      <c r="M27">
        <v>3</v>
      </c>
    </row>
    <row r="28" spans="1:13" x14ac:dyDescent="0.25">
      <c r="A28">
        <v>1027</v>
      </c>
      <c r="B28" t="s">
        <v>31</v>
      </c>
      <c r="C28" t="s">
        <v>17</v>
      </c>
      <c r="D28" t="s">
        <v>30</v>
      </c>
      <c r="E28" s="10">
        <v>4319916</v>
      </c>
      <c r="F28" s="12">
        <v>0.19</v>
      </c>
      <c r="G28" s="12"/>
      <c r="H28">
        <v>3</v>
      </c>
      <c r="J28" t="s">
        <v>13</v>
      </c>
      <c r="K28" s="10">
        <v>374508</v>
      </c>
      <c r="L28" s="10"/>
      <c r="M28">
        <v>13</v>
      </c>
    </row>
    <row r="29" spans="1:13" x14ac:dyDescent="0.25">
      <c r="A29">
        <v>1028</v>
      </c>
      <c r="B29" t="s">
        <v>16</v>
      </c>
      <c r="C29" t="s">
        <v>23</v>
      </c>
      <c r="D29" t="s">
        <v>14</v>
      </c>
      <c r="E29" s="10">
        <v>123832</v>
      </c>
      <c r="F29" s="12">
        <v>0.05</v>
      </c>
      <c r="G29" s="12"/>
      <c r="H29">
        <v>3</v>
      </c>
      <c r="J29" t="s">
        <v>20</v>
      </c>
      <c r="K29" s="10">
        <v>604795</v>
      </c>
      <c r="L29" s="10"/>
      <c r="M29">
        <v>12</v>
      </c>
    </row>
    <row r="30" spans="1:13" x14ac:dyDescent="0.25">
      <c r="A30">
        <v>1029</v>
      </c>
      <c r="B30" t="s">
        <v>9</v>
      </c>
      <c r="C30" t="s">
        <v>17</v>
      </c>
      <c r="D30" t="s">
        <v>26</v>
      </c>
      <c r="E30" s="10">
        <v>3332219</v>
      </c>
      <c r="F30" s="12">
        <v>0.06</v>
      </c>
      <c r="G30" s="12"/>
      <c r="H30">
        <v>6</v>
      </c>
      <c r="J30" t="s">
        <v>15</v>
      </c>
      <c r="K30" s="10">
        <v>172802</v>
      </c>
      <c r="L30" s="10"/>
      <c r="M30">
        <v>7</v>
      </c>
    </row>
    <row r="31" spans="1:13" x14ac:dyDescent="0.25">
      <c r="A31">
        <v>1030</v>
      </c>
      <c r="B31" t="s">
        <v>31</v>
      </c>
      <c r="C31" t="s">
        <v>25</v>
      </c>
      <c r="D31" t="s">
        <v>34</v>
      </c>
      <c r="E31" s="10">
        <v>1622550</v>
      </c>
      <c r="F31" s="12">
        <v>0.15</v>
      </c>
      <c r="G31" s="12"/>
      <c r="H31">
        <v>14</v>
      </c>
      <c r="J31" t="s">
        <v>15</v>
      </c>
      <c r="K31" s="10">
        <v>414403</v>
      </c>
      <c r="L31" s="10"/>
      <c r="M31">
        <v>3</v>
      </c>
    </row>
    <row r="32" spans="1:13" x14ac:dyDescent="0.25">
      <c r="A32">
        <v>1031</v>
      </c>
      <c r="B32" t="s">
        <v>29</v>
      </c>
      <c r="C32" t="s">
        <v>23</v>
      </c>
      <c r="D32" t="s">
        <v>33</v>
      </c>
      <c r="E32" s="10">
        <v>6070983</v>
      </c>
      <c r="F32" s="12">
        <v>0.14000000000000001</v>
      </c>
      <c r="G32" s="12"/>
      <c r="H32">
        <v>2</v>
      </c>
      <c r="J32" t="s">
        <v>15</v>
      </c>
      <c r="K32" s="10">
        <v>540334</v>
      </c>
      <c r="L32" s="10"/>
      <c r="M32">
        <v>9</v>
      </c>
    </row>
    <row r="33" spans="1:13" x14ac:dyDescent="0.25">
      <c r="A33">
        <v>1032</v>
      </c>
      <c r="B33" t="s">
        <v>31</v>
      </c>
      <c r="C33" t="s">
        <v>17</v>
      </c>
      <c r="D33" t="s">
        <v>33</v>
      </c>
      <c r="E33" s="10">
        <v>4015127</v>
      </c>
      <c r="F33" s="12">
        <v>7.0000000000000007E-2</v>
      </c>
      <c r="G33" s="12"/>
      <c r="H33">
        <v>11</v>
      </c>
      <c r="J33" t="s">
        <v>20</v>
      </c>
      <c r="K33" s="10">
        <v>198679</v>
      </c>
      <c r="L33" s="10"/>
      <c r="M33">
        <v>6</v>
      </c>
    </row>
    <row r="34" spans="1:13" x14ac:dyDescent="0.25">
      <c r="A34">
        <v>1033</v>
      </c>
      <c r="B34" t="s">
        <v>22</v>
      </c>
      <c r="C34" t="s">
        <v>25</v>
      </c>
      <c r="D34" t="s">
        <v>24</v>
      </c>
      <c r="E34" s="10">
        <v>470909</v>
      </c>
      <c r="F34" s="12">
        <v>0.17</v>
      </c>
      <c r="G34" s="12"/>
      <c r="H34">
        <v>2</v>
      </c>
      <c r="J34" t="s">
        <v>20</v>
      </c>
      <c r="K34" s="10">
        <v>749459</v>
      </c>
      <c r="L34" s="10"/>
      <c r="M34">
        <v>7</v>
      </c>
    </row>
    <row r="35" spans="1:13" x14ac:dyDescent="0.25">
      <c r="A35">
        <v>1034</v>
      </c>
      <c r="B35" t="s">
        <v>16</v>
      </c>
      <c r="C35" t="s">
        <v>25</v>
      </c>
      <c r="D35" t="s">
        <v>26</v>
      </c>
      <c r="E35" s="10">
        <v>19193047</v>
      </c>
      <c r="F35" s="12">
        <v>0.17</v>
      </c>
      <c r="G35" s="12"/>
      <c r="H35">
        <v>3</v>
      </c>
      <c r="J35" t="s">
        <v>15</v>
      </c>
      <c r="K35" s="10">
        <v>846612</v>
      </c>
      <c r="L35" s="10"/>
      <c r="M35">
        <v>4</v>
      </c>
    </row>
    <row r="36" spans="1:13" x14ac:dyDescent="0.25">
      <c r="A36">
        <v>1035</v>
      </c>
      <c r="B36" t="s">
        <v>22</v>
      </c>
      <c r="C36" t="s">
        <v>10</v>
      </c>
      <c r="D36" t="s">
        <v>24</v>
      </c>
      <c r="E36" s="10">
        <v>289334</v>
      </c>
      <c r="F36" s="12">
        <v>0.12</v>
      </c>
      <c r="G36" s="12"/>
      <c r="H36">
        <v>11</v>
      </c>
      <c r="J36" t="s">
        <v>15</v>
      </c>
      <c r="K36" s="10">
        <v>355212</v>
      </c>
      <c r="L36" s="10"/>
      <c r="M36">
        <v>11</v>
      </c>
    </row>
    <row r="37" spans="1:13" x14ac:dyDescent="0.25">
      <c r="A37">
        <v>1036</v>
      </c>
      <c r="B37" t="s">
        <v>22</v>
      </c>
      <c r="C37" t="s">
        <v>23</v>
      </c>
      <c r="D37" t="s">
        <v>34</v>
      </c>
      <c r="E37" s="10">
        <v>3024989</v>
      </c>
      <c r="F37" s="12">
        <v>0.19</v>
      </c>
      <c r="G37" s="12"/>
      <c r="H37">
        <v>17</v>
      </c>
      <c r="J37" t="s">
        <v>20</v>
      </c>
      <c r="K37" s="10">
        <v>325893</v>
      </c>
      <c r="L37" s="10"/>
      <c r="M37">
        <v>13</v>
      </c>
    </row>
    <row r="38" spans="1:13" x14ac:dyDescent="0.25">
      <c r="A38">
        <v>1037</v>
      </c>
      <c r="B38" t="s">
        <v>16</v>
      </c>
      <c r="C38" t="s">
        <v>25</v>
      </c>
      <c r="D38" t="s">
        <v>24</v>
      </c>
      <c r="E38" s="10">
        <v>400400</v>
      </c>
      <c r="F38" s="12">
        <v>0.05</v>
      </c>
      <c r="G38" s="12"/>
      <c r="H38">
        <v>13</v>
      </c>
      <c r="J38" t="s">
        <v>15</v>
      </c>
      <c r="K38" s="10">
        <v>547975</v>
      </c>
      <c r="L38" s="10"/>
      <c r="M38">
        <v>12</v>
      </c>
    </row>
    <row r="39" spans="1:13" x14ac:dyDescent="0.25">
      <c r="A39">
        <v>1038</v>
      </c>
      <c r="B39" t="s">
        <v>31</v>
      </c>
      <c r="C39" t="s">
        <v>25</v>
      </c>
      <c r="D39" t="s">
        <v>28</v>
      </c>
      <c r="E39" s="10">
        <v>4217362</v>
      </c>
      <c r="F39" s="12">
        <v>0.15</v>
      </c>
      <c r="G39" s="12"/>
      <c r="H39">
        <v>16</v>
      </c>
      <c r="J39" t="s">
        <v>15</v>
      </c>
      <c r="K39" s="10">
        <v>615514</v>
      </c>
      <c r="L39" s="10"/>
      <c r="M39">
        <v>7</v>
      </c>
    </row>
    <row r="40" spans="1:13" x14ac:dyDescent="0.25">
      <c r="A40">
        <v>1039</v>
      </c>
      <c r="B40" t="s">
        <v>16</v>
      </c>
      <c r="C40" t="s">
        <v>17</v>
      </c>
      <c r="D40" t="s">
        <v>34</v>
      </c>
      <c r="E40" s="10">
        <v>4539243</v>
      </c>
      <c r="F40" s="12">
        <v>0.12</v>
      </c>
      <c r="G40" s="12"/>
      <c r="H40">
        <v>12</v>
      </c>
      <c r="J40" t="s">
        <v>13</v>
      </c>
      <c r="K40" s="10">
        <v>720176</v>
      </c>
      <c r="L40" s="10"/>
      <c r="M40">
        <v>8</v>
      </c>
    </row>
    <row r="41" spans="1:13" x14ac:dyDescent="0.25">
      <c r="A41">
        <v>1040</v>
      </c>
      <c r="B41" t="s">
        <v>16</v>
      </c>
      <c r="C41" t="s">
        <v>23</v>
      </c>
      <c r="D41" t="s">
        <v>33</v>
      </c>
      <c r="E41" s="10">
        <v>4494033</v>
      </c>
      <c r="F41" s="12">
        <v>0.18</v>
      </c>
      <c r="G41" s="12"/>
      <c r="H41">
        <v>10</v>
      </c>
      <c r="J41" t="s">
        <v>20</v>
      </c>
      <c r="K41" s="10">
        <v>742214</v>
      </c>
      <c r="L41" s="10"/>
      <c r="M41">
        <v>4</v>
      </c>
    </row>
    <row r="42" spans="1:13" x14ac:dyDescent="0.25">
      <c r="A42">
        <v>1041</v>
      </c>
      <c r="B42" t="s">
        <v>29</v>
      </c>
      <c r="C42" t="s">
        <v>17</v>
      </c>
      <c r="D42" t="s">
        <v>30</v>
      </c>
      <c r="E42" s="10">
        <v>4219456</v>
      </c>
      <c r="F42" s="12">
        <v>7.0000000000000007E-2</v>
      </c>
      <c r="G42" s="12"/>
      <c r="H42">
        <v>11</v>
      </c>
      <c r="J42" t="s">
        <v>13</v>
      </c>
      <c r="K42" s="10">
        <v>820681</v>
      </c>
      <c r="L42" s="10"/>
      <c r="M42">
        <v>1</v>
      </c>
    </row>
    <row r="43" spans="1:13" x14ac:dyDescent="0.25">
      <c r="A43">
        <v>1042</v>
      </c>
      <c r="B43" t="s">
        <v>29</v>
      </c>
      <c r="C43" t="s">
        <v>10</v>
      </c>
      <c r="D43" t="s">
        <v>30</v>
      </c>
      <c r="E43" s="10">
        <v>2968242</v>
      </c>
      <c r="F43" s="12">
        <v>7.0000000000000007E-2</v>
      </c>
      <c r="G43" s="12"/>
      <c r="H43">
        <v>14</v>
      </c>
      <c r="J43" t="s">
        <v>20</v>
      </c>
      <c r="K43" s="10">
        <v>393731</v>
      </c>
      <c r="L43" s="10"/>
      <c r="M43">
        <v>6</v>
      </c>
    </row>
    <row r="44" spans="1:13" x14ac:dyDescent="0.25">
      <c r="A44">
        <v>1043</v>
      </c>
      <c r="B44" t="s">
        <v>31</v>
      </c>
      <c r="C44" t="s">
        <v>23</v>
      </c>
      <c r="D44" t="s">
        <v>30</v>
      </c>
      <c r="E44" s="10">
        <v>4131385</v>
      </c>
      <c r="F44" s="12">
        <v>0.08</v>
      </c>
      <c r="G44" s="12"/>
      <c r="H44">
        <v>7</v>
      </c>
      <c r="J44" t="s">
        <v>20</v>
      </c>
      <c r="K44" s="10">
        <v>333053</v>
      </c>
      <c r="L44" s="10"/>
      <c r="M44">
        <v>1</v>
      </c>
    </row>
    <row r="45" spans="1:13" x14ac:dyDescent="0.25">
      <c r="A45">
        <v>1044</v>
      </c>
      <c r="B45" t="s">
        <v>22</v>
      </c>
      <c r="C45" t="s">
        <v>23</v>
      </c>
      <c r="D45" t="s">
        <v>32</v>
      </c>
      <c r="E45" s="10">
        <v>6699850</v>
      </c>
      <c r="F45" s="12">
        <v>0.12</v>
      </c>
      <c r="G45" s="12"/>
      <c r="H45">
        <v>18</v>
      </c>
      <c r="J45" t="s">
        <v>13</v>
      </c>
      <c r="K45" s="10">
        <v>381009</v>
      </c>
      <c r="L45" s="10"/>
      <c r="M45">
        <v>3</v>
      </c>
    </row>
    <row r="46" spans="1:13" x14ac:dyDescent="0.25">
      <c r="A46">
        <v>1045</v>
      </c>
      <c r="B46" t="s">
        <v>29</v>
      </c>
      <c r="C46" t="s">
        <v>10</v>
      </c>
      <c r="D46" t="s">
        <v>11</v>
      </c>
      <c r="E46" s="10">
        <v>46037234</v>
      </c>
      <c r="F46" s="12">
        <v>0.11</v>
      </c>
      <c r="G46" s="12"/>
      <c r="H46">
        <v>16</v>
      </c>
      <c r="J46" t="s">
        <v>20</v>
      </c>
      <c r="K46" s="10">
        <v>179265</v>
      </c>
      <c r="L46" s="10"/>
      <c r="M46">
        <v>4</v>
      </c>
    </row>
    <row r="47" spans="1:13" x14ac:dyDescent="0.25">
      <c r="A47">
        <v>1046</v>
      </c>
      <c r="B47" t="s">
        <v>22</v>
      </c>
      <c r="C47" t="s">
        <v>23</v>
      </c>
      <c r="D47" t="s">
        <v>18</v>
      </c>
      <c r="E47" s="10">
        <v>4504473</v>
      </c>
      <c r="F47" s="12">
        <v>0.13</v>
      </c>
      <c r="G47" s="12"/>
      <c r="H47">
        <v>7</v>
      </c>
      <c r="J47" t="s">
        <v>15</v>
      </c>
      <c r="K47" s="10">
        <v>963946</v>
      </c>
      <c r="L47" s="10"/>
      <c r="M47">
        <v>5</v>
      </c>
    </row>
    <row r="48" spans="1:13" x14ac:dyDescent="0.25">
      <c r="A48">
        <v>1047</v>
      </c>
      <c r="B48" t="s">
        <v>31</v>
      </c>
      <c r="C48" t="s">
        <v>25</v>
      </c>
      <c r="D48" t="s">
        <v>30</v>
      </c>
      <c r="E48" s="10">
        <v>4317230</v>
      </c>
      <c r="F48" s="12">
        <v>0.11</v>
      </c>
      <c r="G48" s="12"/>
      <c r="H48">
        <v>3</v>
      </c>
      <c r="J48" t="s">
        <v>20</v>
      </c>
      <c r="K48" s="10">
        <v>804580</v>
      </c>
      <c r="L48" s="10"/>
      <c r="M48">
        <v>13</v>
      </c>
    </row>
    <row r="49" spans="1:13" x14ac:dyDescent="0.25">
      <c r="A49">
        <v>1048</v>
      </c>
      <c r="B49" t="s">
        <v>9</v>
      </c>
      <c r="C49" t="s">
        <v>10</v>
      </c>
      <c r="D49" t="s">
        <v>14</v>
      </c>
      <c r="E49" s="10">
        <v>138137</v>
      </c>
      <c r="F49" s="12">
        <v>0.11</v>
      </c>
      <c r="G49" s="12"/>
      <c r="H49">
        <v>7</v>
      </c>
      <c r="J49" t="s">
        <v>20</v>
      </c>
      <c r="K49" s="10">
        <v>361130</v>
      </c>
      <c r="L49" s="10"/>
      <c r="M49">
        <v>10</v>
      </c>
    </row>
    <row r="50" spans="1:13" x14ac:dyDescent="0.25">
      <c r="A50">
        <v>1049</v>
      </c>
      <c r="B50" t="s">
        <v>9</v>
      </c>
      <c r="C50" t="s">
        <v>17</v>
      </c>
      <c r="D50" t="s">
        <v>24</v>
      </c>
      <c r="E50" s="10">
        <v>182283</v>
      </c>
      <c r="F50" s="12">
        <v>0.12</v>
      </c>
      <c r="G50" s="12"/>
      <c r="H50">
        <v>10</v>
      </c>
      <c r="J50" t="s">
        <v>20</v>
      </c>
      <c r="K50" s="10">
        <v>826084</v>
      </c>
      <c r="L50" s="10"/>
      <c r="M50">
        <v>4</v>
      </c>
    </row>
    <row r="51" spans="1:13" x14ac:dyDescent="0.25">
      <c r="A51">
        <v>1050</v>
      </c>
      <c r="B51" t="s">
        <v>22</v>
      </c>
      <c r="C51" t="s">
        <v>25</v>
      </c>
      <c r="D51" t="s">
        <v>18</v>
      </c>
      <c r="E51" s="10">
        <v>4010701</v>
      </c>
      <c r="F51" s="12">
        <v>0.15</v>
      </c>
      <c r="G51" s="12"/>
      <c r="H51">
        <v>9</v>
      </c>
      <c r="J51" t="s">
        <v>20</v>
      </c>
      <c r="K51" s="10">
        <v>944161</v>
      </c>
      <c r="L51" s="10"/>
      <c r="M51">
        <v>1</v>
      </c>
    </row>
    <row r="52" spans="1:13" x14ac:dyDescent="0.25">
      <c r="A52">
        <v>1051</v>
      </c>
      <c r="B52" t="s">
        <v>29</v>
      </c>
      <c r="C52" t="s">
        <v>25</v>
      </c>
      <c r="D52" t="s">
        <v>34</v>
      </c>
      <c r="E52" s="10">
        <v>4422211</v>
      </c>
      <c r="F52" s="12">
        <v>0.13</v>
      </c>
      <c r="G52" s="12"/>
      <c r="H52">
        <v>9</v>
      </c>
      <c r="J52" t="s">
        <v>13</v>
      </c>
      <c r="K52" s="10">
        <v>722856</v>
      </c>
      <c r="L52" s="10"/>
      <c r="M52">
        <v>12</v>
      </c>
    </row>
    <row r="53" spans="1:13" x14ac:dyDescent="0.25">
      <c r="A53">
        <v>1052</v>
      </c>
      <c r="B53" t="s">
        <v>31</v>
      </c>
      <c r="C53" t="s">
        <v>25</v>
      </c>
      <c r="D53" t="s">
        <v>34</v>
      </c>
      <c r="E53" s="10">
        <v>2050339</v>
      </c>
      <c r="F53" s="12">
        <v>0.09</v>
      </c>
      <c r="G53" s="12"/>
      <c r="H53">
        <v>10</v>
      </c>
      <c r="J53" t="s">
        <v>20</v>
      </c>
      <c r="K53" s="10">
        <v>731002</v>
      </c>
      <c r="L53" s="10"/>
      <c r="M53">
        <v>8</v>
      </c>
    </row>
    <row r="54" spans="1:13" x14ac:dyDescent="0.25">
      <c r="A54">
        <v>1053</v>
      </c>
      <c r="B54" t="s">
        <v>16</v>
      </c>
      <c r="C54" t="s">
        <v>25</v>
      </c>
      <c r="D54" t="s">
        <v>32</v>
      </c>
      <c r="E54" s="10">
        <v>32882561</v>
      </c>
      <c r="F54" s="12">
        <v>0.05</v>
      </c>
      <c r="G54" s="12"/>
      <c r="H54">
        <v>7</v>
      </c>
      <c r="J54" t="s">
        <v>15</v>
      </c>
      <c r="K54" s="10">
        <v>724404</v>
      </c>
      <c r="L54" s="10"/>
      <c r="M54">
        <v>4</v>
      </c>
    </row>
    <row r="55" spans="1:13" x14ac:dyDescent="0.25">
      <c r="A55">
        <v>1054</v>
      </c>
      <c r="B55" t="s">
        <v>16</v>
      </c>
      <c r="C55" t="s">
        <v>25</v>
      </c>
      <c r="D55" t="s">
        <v>33</v>
      </c>
      <c r="E55" s="10">
        <v>978672</v>
      </c>
      <c r="F55" s="12">
        <v>0.15</v>
      </c>
      <c r="G55" s="12"/>
      <c r="H55">
        <v>13</v>
      </c>
      <c r="J55" t="s">
        <v>15</v>
      </c>
      <c r="K55" s="10">
        <v>103102</v>
      </c>
      <c r="L55" s="10"/>
      <c r="M55">
        <v>6</v>
      </c>
    </row>
    <row r="56" spans="1:13" x14ac:dyDescent="0.25">
      <c r="A56">
        <v>1055</v>
      </c>
      <c r="B56" t="s">
        <v>16</v>
      </c>
      <c r="C56" t="s">
        <v>25</v>
      </c>
      <c r="D56" t="s">
        <v>34</v>
      </c>
      <c r="E56" s="10">
        <v>1574465</v>
      </c>
      <c r="F56" s="12">
        <v>0.14000000000000001</v>
      </c>
      <c r="G56" s="12"/>
      <c r="H56">
        <v>20</v>
      </c>
      <c r="J56" t="s">
        <v>13</v>
      </c>
      <c r="K56" s="10">
        <v>619593</v>
      </c>
      <c r="L56" s="10"/>
      <c r="M56">
        <v>6</v>
      </c>
    </row>
    <row r="57" spans="1:13" x14ac:dyDescent="0.25">
      <c r="A57">
        <v>1056</v>
      </c>
      <c r="B57" t="s">
        <v>16</v>
      </c>
      <c r="C57" t="s">
        <v>10</v>
      </c>
      <c r="D57" t="s">
        <v>28</v>
      </c>
      <c r="E57" s="10">
        <v>16613442</v>
      </c>
      <c r="F57" s="12">
        <v>0.12</v>
      </c>
      <c r="G57" s="12"/>
      <c r="H57">
        <v>13</v>
      </c>
      <c r="J57" t="s">
        <v>15</v>
      </c>
      <c r="K57" s="10">
        <v>667539</v>
      </c>
      <c r="L57" s="10"/>
      <c r="M57">
        <v>7</v>
      </c>
    </row>
    <row r="58" spans="1:13" x14ac:dyDescent="0.25">
      <c r="A58">
        <v>1057</v>
      </c>
      <c r="B58" t="s">
        <v>22</v>
      </c>
      <c r="C58" t="s">
        <v>10</v>
      </c>
      <c r="D58" t="s">
        <v>11</v>
      </c>
      <c r="E58" s="10">
        <v>6952456</v>
      </c>
      <c r="F58" s="12">
        <v>0.08</v>
      </c>
      <c r="G58" s="12"/>
      <c r="H58">
        <v>20</v>
      </c>
      <c r="J58" t="s">
        <v>15</v>
      </c>
      <c r="K58" s="10">
        <v>910916</v>
      </c>
      <c r="L58" s="10"/>
      <c r="M58">
        <v>4</v>
      </c>
    </row>
    <row r="59" spans="1:13" x14ac:dyDescent="0.25">
      <c r="A59">
        <v>1058</v>
      </c>
      <c r="B59" t="s">
        <v>29</v>
      </c>
      <c r="C59" t="s">
        <v>17</v>
      </c>
      <c r="D59" t="s">
        <v>11</v>
      </c>
      <c r="E59" s="10">
        <v>38995149</v>
      </c>
      <c r="F59" s="12">
        <v>0.17</v>
      </c>
      <c r="G59" s="12"/>
      <c r="H59">
        <v>8</v>
      </c>
      <c r="J59" t="s">
        <v>15</v>
      </c>
      <c r="K59" s="10">
        <v>252568</v>
      </c>
      <c r="L59" s="10"/>
      <c r="M59">
        <v>13</v>
      </c>
    </row>
    <row r="60" spans="1:13" x14ac:dyDescent="0.25">
      <c r="A60">
        <v>1059</v>
      </c>
      <c r="B60" t="s">
        <v>9</v>
      </c>
      <c r="C60" t="s">
        <v>10</v>
      </c>
      <c r="D60" t="s">
        <v>28</v>
      </c>
      <c r="E60" s="10">
        <v>3684490</v>
      </c>
      <c r="F60" s="12">
        <v>0.1</v>
      </c>
      <c r="G60" s="12"/>
      <c r="H60">
        <v>11</v>
      </c>
      <c r="J60" t="s">
        <v>13</v>
      </c>
      <c r="K60" s="10">
        <v>281515</v>
      </c>
      <c r="L60" s="10"/>
      <c r="M60">
        <v>3</v>
      </c>
    </row>
    <row r="61" spans="1:13" x14ac:dyDescent="0.25">
      <c r="A61">
        <v>1060</v>
      </c>
      <c r="B61" t="s">
        <v>16</v>
      </c>
      <c r="C61" t="s">
        <v>23</v>
      </c>
      <c r="D61" t="s">
        <v>26</v>
      </c>
      <c r="E61" s="10">
        <v>3175613</v>
      </c>
      <c r="F61" s="12">
        <v>0.2</v>
      </c>
      <c r="G61" s="12"/>
      <c r="H61">
        <v>6</v>
      </c>
      <c r="J61" t="s">
        <v>15</v>
      </c>
      <c r="K61" s="10">
        <v>770871</v>
      </c>
      <c r="L61" s="10"/>
      <c r="M61">
        <v>10</v>
      </c>
    </row>
    <row r="62" spans="1:13" x14ac:dyDescent="0.25">
      <c r="A62">
        <v>1061</v>
      </c>
      <c r="B62" t="s">
        <v>16</v>
      </c>
      <c r="C62" t="s">
        <v>25</v>
      </c>
      <c r="D62" t="s">
        <v>26</v>
      </c>
      <c r="E62" s="10">
        <v>23329622</v>
      </c>
      <c r="F62" s="12">
        <v>0.15</v>
      </c>
      <c r="G62" s="12"/>
      <c r="H62">
        <v>13</v>
      </c>
      <c r="J62" t="s">
        <v>15</v>
      </c>
      <c r="K62" s="10">
        <v>386126</v>
      </c>
      <c r="L62" s="10"/>
      <c r="M62">
        <v>12</v>
      </c>
    </row>
    <row r="63" spans="1:13" x14ac:dyDescent="0.25">
      <c r="A63">
        <v>1062</v>
      </c>
      <c r="B63" t="s">
        <v>22</v>
      </c>
      <c r="C63" t="s">
        <v>10</v>
      </c>
      <c r="D63" t="s">
        <v>24</v>
      </c>
      <c r="E63" s="10">
        <v>237621</v>
      </c>
      <c r="F63" s="12">
        <v>0.15</v>
      </c>
      <c r="G63" s="12"/>
      <c r="H63">
        <v>20</v>
      </c>
      <c r="J63" t="s">
        <v>15</v>
      </c>
      <c r="K63" s="10">
        <v>532813</v>
      </c>
      <c r="L63" s="10"/>
      <c r="M63">
        <v>14</v>
      </c>
    </row>
    <row r="64" spans="1:13" x14ac:dyDescent="0.25">
      <c r="A64">
        <v>1063</v>
      </c>
      <c r="B64" t="s">
        <v>31</v>
      </c>
      <c r="C64" t="s">
        <v>10</v>
      </c>
      <c r="D64" t="s">
        <v>30</v>
      </c>
      <c r="E64" s="10">
        <v>4785436</v>
      </c>
      <c r="F64" s="12">
        <v>0.08</v>
      </c>
      <c r="G64" s="12"/>
      <c r="H64">
        <v>3</v>
      </c>
      <c r="J64" t="s">
        <v>13</v>
      </c>
      <c r="K64" s="10">
        <v>606820</v>
      </c>
      <c r="L64" s="10"/>
      <c r="M64">
        <v>1</v>
      </c>
    </row>
    <row r="65" spans="1:13" x14ac:dyDescent="0.25">
      <c r="A65">
        <v>1064</v>
      </c>
      <c r="B65" t="s">
        <v>16</v>
      </c>
      <c r="C65" t="s">
        <v>17</v>
      </c>
      <c r="D65" t="s">
        <v>34</v>
      </c>
      <c r="E65" s="10">
        <v>2788061</v>
      </c>
      <c r="F65" s="12">
        <v>0.16</v>
      </c>
      <c r="G65" s="12"/>
      <c r="H65">
        <v>12</v>
      </c>
      <c r="J65" t="s">
        <v>13</v>
      </c>
      <c r="K65" s="10">
        <v>458779</v>
      </c>
      <c r="L65" s="10"/>
      <c r="M65">
        <v>1</v>
      </c>
    </row>
    <row r="66" spans="1:13" x14ac:dyDescent="0.25">
      <c r="A66">
        <v>1065</v>
      </c>
      <c r="B66" t="s">
        <v>31</v>
      </c>
      <c r="C66" t="s">
        <v>23</v>
      </c>
      <c r="D66" t="s">
        <v>34</v>
      </c>
      <c r="E66" s="10">
        <v>4351802</v>
      </c>
      <c r="F66" s="12">
        <v>0.05</v>
      </c>
      <c r="G66" s="12"/>
      <c r="H66">
        <v>13</v>
      </c>
      <c r="J66" t="s">
        <v>20</v>
      </c>
      <c r="K66" s="10">
        <v>933436</v>
      </c>
      <c r="L66" s="10"/>
      <c r="M66">
        <v>2</v>
      </c>
    </row>
    <row r="67" spans="1:13" x14ac:dyDescent="0.25">
      <c r="A67">
        <v>1066</v>
      </c>
      <c r="B67" t="s">
        <v>31</v>
      </c>
      <c r="C67" t="s">
        <v>25</v>
      </c>
      <c r="D67" t="s">
        <v>14</v>
      </c>
      <c r="E67" s="10">
        <v>418279</v>
      </c>
      <c r="F67" s="12">
        <v>0.13</v>
      </c>
      <c r="G67" s="12"/>
      <c r="H67">
        <v>16</v>
      </c>
      <c r="J67" t="s">
        <v>15</v>
      </c>
      <c r="K67" s="10">
        <v>595669</v>
      </c>
      <c r="L67" s="10"/>
      <c r="M67">
        <v>4</v>
      </c>
    </row>
    <row r="68" spans="1:13" x14ac:dyDescent="0.25">
      <c r="A68">
        <v>1067</v>
      </c>
      <c r="B68" t="s">
        <v>31</v>
      </c>
      <c r="C68" t="s">
        <v>25</v>
      </c>
      <c r="D68" t="s">
        <v>28</v>
      </c>
      <c r="E68" s="10">
        <v>2893954</v>
      </c>
      <c r="F68" s="12">
        <v>0.16</v>
      </c>
      <c r="G68" s="12"/>
      <c r="H68">
        <v>7</v>
      </c>
      <c r="J68" t="s">
        <v>15</v>
      </c>
      <c r="K68" s="10">
        <v>539965</v>
      </c>
      <c r="L68" s="10"/>
      <c r="M68">
        <v>5</v>
      </c>
    </row>
    <row r="69" spans="1:13" x14ac:dyDescent="0.25">
      <c r="A69">
        <v>1068</v>
      </c>
      <c r="B69" t="s">
        <v>31</v>
      </c>
      <c r="C69" t="s">
        <v>17</v>
      </c>
      <c r="D69" t="s">
        <v>34</v>
      </c>
      <c r="E69" s="10">
        <v>3126697</v>
      </c>
      <c r="F69" s="12">
        <v>0.09</v>
      </c>
      <c r="G69" s="12"/>
      <c r="H69">
        <v>20</v>
      </c>
      <c r="J69" t="s">
        <v>20</v>
      </c>
      <c r="K69" s="10">
        <v>882544</v>
      </c>
      <c r="L69" s="10"/>
      <c r="M69">
        <v>2</v>
      </c>
    </row>
    <row r="70" spans="1:13" x14ac:dyDescent="0.25">
      <c r="A70">
        <v>1069</v>
      </c>
      <c r="B70" t="s">
        <v>9</v>
      </c>
      <c r="C70" t="s">
        <v>17</v>
      </c>
      <c r="D70" t="s">
        <v>33</v>
      </c>
      <c r="E70" s="10">
        <v>1711703</v>
      </c>
      <c r="F70" s="12">
        <v>0.17</v>
      </c>
      <c r="G70" s="12"/>
      <c r="H70">
        <v>13</v>
      </c>
      <c r="J70" t="s">
        <v>20</v>
      </c>
      <c r="K70" s="10">
        <v>606668</v>
      </c>
      <c r="L70" s="10"/>
      <c r="M70">
        <v>2</v>
      </c>
    </row>
    <row r="71" spans="1:13" x14ac:dyDescent="0.25">
      <c r="A71">
        <v>1070</v>
      </c>
      <c r="B71" t="s">
        <v>9</v>
      </c>
      <c r="C71" t="s">
        <v>17</v>
      </c>
      <c r="D71" t="s">
        <v>26</v>
      </c>
      <c r="E71" s="10">
        <v>1346770</v>
      </c>
      <c r="F71" s="12">
        <v>0.15</v>
      </c>
      <c r="G71" s="12"/>
      <c r="H71">
        <v>2</v>
      </c>
      <c r="J71" t="s">
        <v>20</v>
      </c>
      <c r="K71" s="10">
        <v>702604</v>
      </c>
      <c r="L71" s="10"/>
      <c r="M71">
        <v>1</v>
      </c>
    </row>
    <row r="72" spans="1:13" x14ac:dyDescent="0.25">
      <c r="A72">
        <v>1071</v>
      </c>
      <c r="B72" t="s">
        <v>22</v>
      </c>
      <c r="C72" t="s">
        <v>23</v>
      </c>
      <c r="D72" t="s">
        <v>33</v>
      </c>
      <c r="E72" s="10">
        <v>4229081</v>
      </c>
      <c r="F72" s="12">
        <v>0.16</v>
      </c>
      <c r="G72" s="12"/>
      <c r="H72">
        <v>2</v>
      </c>
      <c r="J72" t="s">
        <v>15</v>
      </c>
      <c r="K72" s="10">
        <v>234888</v>
      </c>
      <c r="L72" s="10"/>
      <c r="M72">
        <v>5</v>
      </c>
    </row>
    <row r="73" spans="1:13" x14ac:dyDescent="0.25">
      <c r="A73">
        <v>1072</v>
      </c>
      <c r="B73" t="s">
        <v>29</v>
      </c>
      <c r="C73" t="s">
        <v>23</v>
      </c>
      <c r="D73" t="s">
        <v>14</v>
      </c>
      <c r="E73" s="10">
        <v>197683</v>
      </c>
      <c r="F73" s="12">
        <v>0.11</v>
      </c>
      <c r="G73" s="12"/>
      <c r="H73">
        <v>10</v>
      </c>
      <c r="J73" t="s">
        <v>15</v>
      </c>
      <c r="K73" s="10">
        <v>472651</v>
      </c>
      <c r="L73" s="10"/>
      <c r="M73">
        <v>9</v>
      </c>
    </row>
    <row r="74" spans="1:13" x14ac:dyDescent="0.25">
      <c r="A74">
        <v>1073</v>
      </c>
      <c r="B74" t="s">
        <v>16</v>
      </c>
      <c r="C74" t="s">
        <v>25</v>
      </c>
      <c r="D74" t="s">
        <v>33</v>
      </c>
      <c r="E74" s="10">
        <v>1635343</v>
      </c>
      <c r="F74" s="12">
        <v>0.19</v>
      </c>
      <c r="G74" s="12"/>
      <c r="H74">
        <v>12</v>
      </c>
      <c r="J74" t="s">
        <v>13</v>
      </c>
      <c r="K74" s="10">
        <v>851730</v>
      </c>
      <c r="L74" s="10"/>
      <c r="M74">
        <v>12</v>
      </c>
    </row>
    <row r="75" spans="1:13" x14ac:dyDescent="0.25">
      <c r="A75">
        <v>1074</v>
      </c>
      <c r="B75" t="s">
        <v>22</v>
      </c>
      <c r="C75" t="s">
        <v>25</v>
      </c>
      <c r="D75" t="s">
        <v>11</v>
      </c>
      <c r="E75" s="10">
        <v>3788806</v>
      </c>
      <c r="F75" s="12">
        <v>0.08</v>
      </c>
      <c r="G75" s="12"/>
      <c r="H75">
        <v>5</v>
      </c>
      <c r="J75" t="s">
        <v>20</v>
      </c>
      <c r="K75" s="10">
        <v>647515</v>
      </c>
      <c r="L75" s="10"/>
      <c r="M75">
        <v>14</v>
      </c>
    </row>
    <row r="76" spans="1:13" x14ac:dyDescent="0.25">
      <c r="A76">
        <v>1075</v>
      </c>
      <c r="B76" t="s">
        <v>16</v>
      </c>
      <c r="C76" t="s">
        <v>17</v>
      </c>
      <c r="D76" t="s">
        <v>18</v>
      </c>
      <c r="E76" s="10">
        <v>3901281</v>
      </c>
      <c r="F76" s="12">
        <v>7.0000000000000007E-2</v>
      </c>
      <c r="G76" s="12"/>
      <c r="H76">
        <v>8</v>
      </c>
      <c r="J76" t="s">
        <v>20</v>
      </c>
      <c r="K76" s="10">
        <v>353951</v>
      </c>
      <c r="L76" s="10"/>
      <c r="M76">
        <v>6</v>
      </c>
    </row>
    <row r="77" spans="1:13" x14ac:dyDescent="0.25">
      <c r="A77">
        <v>1076</v>
      </c>
      <c r="B77" t="s">
        <v>22</v>
      </c>
      <c r="C77" t="s">
        <v>10</v>
      </c>
      <c r="D77" t="s">
        <v>32</v>
      </c>
      <c r="E77" s="10">
        <v>48575752</v>
      </c>
      <c r="F77" s="12">
        <v>0.13</v>
      </c>
      <c r="G77" s="12"/>
      <c r="H77">
        <v>5</v>
      </c>
      <c r="J77" t="s">
        <v>15</v>
      </c>
      <c r="K77" s="10">
        <v>984149</v>
      </c>
      <c r="L77" s="10"/>
      <c r="M77">
        <v>11</v>
      </c>
    </row>
    <row r="78" spans="1:13" x14ac:dyDescent="0.25">
      <c r="A78">
        <v>1077</v>
      </c>
      <c r="B78" t="s">
        <v>31</v>
      </c>
      <c r="C78" t="s">
        <v>25</v>
      </c>
      <c r="D78" t="s">
        <v>18</v>
      </c>
      <c r="E78" s="10">
        <v>4596493</v>
      </c>
      <c r="F78" s="12">
        <v>0.1</v>
      </c>
      <c r="G78" s="12"/>
      <c r="H78">
        <v>13</v>
      </c>
      <c r="J78" t="s">
        <v>15</v>
      </c>
      <c r="K78" s="10">
        <v>916624</v>
      </c>
      <c r="L78" s="10"/>
      <c r="M78">
        <v>6</v>
      </c>
    </row>
    <row r="79" spans="1:13" x14ac:dyDescent="0.25">
      <c r="A79">
        <v>1078</v>
      </c>
      <c r="B79" t="s">
        <v>29</v>
      </c>
      <c r="C79" t="s">
        <v>17</v>
      </c>
      <c r="D79" t="s">
        <v>30</v>
      </c>
      <c r="E79" s="10">
        <v>3990642</v>
      </c>
      <c r="F79" s="12">
        <v>0.11</v>
      </c>
      <c r="G79" s="12"/>
      <c r="H79">
        <v>12</v>
      </c>
      <c r="J79" t="s">
        <v>20</v>
      </c>
      <c r="K79" s="10">
        <v>627229</v>
      </c>
      <c r="L79" s="10"/>
      <c r="M79">
        <v>9</v>
      </c>
    </row>
    <row r="80" spans="1:13" x14ac:dyDescent="0.25">
      <c r="A80">
        <v>1079</v>
      </c>
      <c r="B80" t="s">
        <v>16</v>
      </c>
      <c r="C80" t="s">
        <v>17</v>
      </c>
      <c r="D80" t="s">
        <v>18</v>
      </c>
      <c r="E80" s="10">
        <v>4336561</v>
      </c>
      <c r="F80" s="12">
        <v>0.05</v>
      </c>
      <c r="G80" s="12"/>
      <c r="H80">
        <v>3</v>
      </c>
      <c r="J80" t="s">
        <v>15</v>
      </c>
      <c r="K80" s="10">
        <v>885687</v>
      </c>
      <c r="L80" s="10"/>
      <c r="M80">
        <v>4</v>
      </c>
    </row>
    <row r="81" spans="1:13" x14ac:dyDescent="0.25">
      <c r="A81">
        <v>1080</v>
      </c>
      <c r="B81" t="s">
        <v>16</v>
      </c>
      <c r="C81" t="s">
        <v>23</v>
      </c>
      <c r="D81" t="s">
        <v>26</v>
      </c>
      <c r="E81" s="10">
        <v>3330505</v>
      </c>
      <c r="F81" s="12">
        <v>0.14000000000000001</v>
      </c>
      <c r="G81" s="12"/>
      <c r="H81">
        <v>13</v>
      </c>
      <c r="J81" t="s">
        <v>20</v>
      </c>
      <c r="K81" s="10">
        <v>455849</v>
      </c>
      <c r="L81" s="10"/>
      <c r="M81">
        <v>3</v>
      </c>
    </row>
    <row r="82" spans="1:13" x14ac:dyDescent="0.25">
      <c r="A82">
        <v>1081</v>
      </c>
      <c r="B82" t="s">
        <v>29</v>
      </c>
      <c r="C82" t="s">
        <v>25</v>
      </c>
      <c r="D82" t="s">
        <v>32</v>
      </c>
      <c r="E82" s="10">
        <v>5033040</v>
      </c>
      <c r="F82" s="12">
        <v>0.17</v>
      </c>
      <c r="G82" s="12"/>
      <c r="H82">
        <v>20</v>
      </c>
      <c r="J82" t="s">
        <v>13</v>
      </c>
      <c r="K82" s="10">
        <v>134027</v>
      </c>
      <c r="L82" s="10"/>
      <c r="M82">
        <v>2</v>
      </c>
    </row>
    <row r="83" spans="1:13" x14ac:dyDescent="0.25">
      <c r="A83">
        <v>1082</v>
      </c>
      <c r="B83" t="s">
        <v>22</v>
      </c>
      <c r="C83" t="s">
        <v>10</v>
      </c>
      <c r="D83" t="s">
        <v>28</v>
      </c>
      <c r="E83" s="10">
        <v>22260997</v>
      </c>
      <c r="F83" s="12">
        <v>0.16</v>
      </c>
      <c r="G83" s="12"/>
      <c r="H83">
        <v>3</v>
      </c>
      <c r="J83" t="s">
        <v>20</v>
      </c>
      <c r="K83" s="10">
        <v>955985</v>
      </c>
      <c r="L83" s="10"/>
      <c r="M83">
        <v>3</v>
      </c>
    </row>
    <row r="84" spans="1:13" x14ac:dyDescent="0.25">
      <c r="A84">
        <v>1083</v>
      </c>
      <c r="B84" t="s">
        <v>16</v>
      </c>
      <c r="C84" t="s">
        <v>25</v>
      </c>
      <c r="D84" t="s">
        <v>33</v>
      </c>
      <c r="E84" s="10">
        <v>3652737</v>
      </c>
      <c r="F84" s="12">
        <v>0.14000000000000001</v>
      </c>
      <c r="G84" s="12"/>
      <c r="H84">
        <v>17</v>
      </c>
      <c r="J84" t="s">
        <v>13</v>
      </c>
      <c r="K84" s="10">
        <v>863430</v>
      </c>
      <c r="L84" s="10"/>
      <c r="M84">
        <v>12</v>
      </c>
    </row>
    <row r="85" spans="1:13" x14ac:dyDescent="0.25">
      <c r="A85">
        <v>1084</v>
      </c>
      <c r="B85" t="s">
        <v>29</v>
      </c>
      <c r="C85" t="s">
        <v>25</v>
      </c>
      <c r="D85" t="s">
        <v>14</v>
      </c>
      <c r="E85" s="10">
        <v>158408</v>
      </c>
      <c r="F85" s="12">
        <v>0.12</v>
      </c>
      <c r="G85" s="12"/>
      <c r="H85">
        <v>1</v>
      </c>
      <c r="J85" t="s">
        <v>15</v>
      </c>
      <c r="K85" s="10">
        <v>960730</v>
      </c>
      <c r="L85" s="10"/>
      <c r="M85">
        <v>6</v>
      </c>
    </row>
    <row r="86" spans="1:13" x14ac:dyDescent="0.25">
      <c r="A86">
        <v>1085</v>
      </c>
      <c r="B86" t="s">
        <v>9</v>
      </c>
      <c r="C86" t="s">
        <v>23</v>
      </c>
      <c r="D86" t="s">
        <v>30</v>
      </c>
      <c r="E86" s="10">
        <v>1343120</v>
      </c>
      <c r="F86" s="12">
        <v>7.0000000000000007E-2</v>
      </c>
      <c r="G86" s="12"/>
      <c r="H86">
        <v>13</v>
      </c>
      <c r="J86" t="s">
        <v>20</v>
      </c>
      <c r="K86" s="10">
        <v>453952</v>
      </c>
      <c r="L86" s="10"/>
      <c r="M86">
        <v>13</v>
      </c>
    </row>
    <row r="87" spans="1:13" x14ac:dyDescent="0.25">
      <c r="A87">
        <v>1086</v>
      </c>
      <c r="B87" t="s">
        <v>29</v>
      </c>
      <c r="C87" t="s">
        <v>17</v>
      </c>
      <c r="D87" t="s">
        <v>18</v>
      </c>
      <c r="E87" s="10">
        <v>3774751</v>
      </c>
      <c r="F87" s="12">
        <v>0.1</v>
      </c>
      <c r="G87" s="12"/>
      <c r="H87">
        <v>15</v>
      </c>
      <c r="J87" t="s">
        <v>15</v>
      </c>
      <c r="K87" s="10">
        <v>107602</v>
      </c>
      <c r="L87" s="10"/>
      <c r="M87">
        <v>5</v>
      </c>
    </row>
    <row r="88" spans="1:13" x14ac:dyDescent="0.25">
      <c r="A88">
        <v>1087</v>
      </c>
      <c r="B88" t="s">
        <v>29</v>
      </c>
      <c r="C88" t="s">
        <v>17</v>
      </c>
      <c r="D88" t="s">
        <v>18</v>
      </c>
      <c r="E88" s="10">
        <v>2519814</v>
      </c>
      <c r="F88" s="12">
        <v>0.09</v>
      </c>
      <c r="G88" s="12"/>
      <c r="H88">
        <v>14</v>
      </c>
      <c r="J88" t="s">
        <v>15</v>
      </c>
      <c r="K88" s="10">
        <v>907182</v>
      </c>
      <c r="L88" s="10"/>
      <c r="M88">
        <v>8</v>
      </c>
    </row>
    <row r="89" spans="1:13" x14ac:dyDescent="0.25">
      <c r="A89">
        <v>1088</v>
      </c>
      <c r="B89" t="s">
        <v>16</v>
      </c>
      <c r="C89" t="s">
        <v>17</v>
      </c>
      <c r="D89" t="s">
        <v>30</v>
      </c>
      <c r="E89" s="10">
        <v>6414812</v>
      </c>
      <c r="F89" s="12">
        <v>0.19</v>
      </c>
      <c r="G89" s="12"/>
      <c r="H89">
        <v>9</v>
      </c>
      <c r="J89" t="s">
        <v>15</v>
      </c>
      <c r="K89" s="10">
        <v>661833</v>
      </c>
      <c r="L89" s="10"/>
      <c r="M89">
        <v>2</v>
      </c>
    </row>
    <row r="90" spans="1:13" x14ac:dyDescent="0.25">
      <c r="A90">
        <v>1089</v>
      </c>
      <c r="B90" t="s">
        <v>16</v>
      </c>
      <c r="C90" t="s">
        <v>23</v>
      </c>
      <c r="D90" t="s">
        <v>26</v>
      </c>
      <c r="E90" s="10">
        <v>10568364</v>
      </c>
      <c r="F90" s="12">
        <v>0.17</v>
      </c>
      <c r="G90" s="12"/>
      <c r="H90">
        <v>9</v>
      </c>
      <c r="J90" t="s">
        <v>20</v>
      </c>
      <c r="K90" s="10">
        <v>657092</v>
      </c>
      <c r="L90" s="10"/>
      <c r="M90">
        <v>8</v>
      </c>
    </row>
    <row r="91" spans="1:13" x14ac:dyDescent="0.25">
      <c r="A91">
        <v>1090</v>
      </c>
      <c r="B91" t="s">
        <v>16</v>
      </c>
      <c r="C91" t="s">
        <v>25</v>
      </c>
      <c r="D91" t="s">
        <v>34</v>
      </c>
      <c r="E91" s="10">
        <v>3180289</v>
      </c>
      <c r="F91" s="12">
        <v>0.11</v>
      </c>
      <c r="G91" s="12"/>
      <c r="H91">
        <v>12</v>
      </c>
      <c r="J91" t="s">
        <v>13</v>
      </c>
      <c r="K91" s="10">
        <v>301388</v>
      </c>
      <c r="L91" s="10"/>
      <c r="M91">
        <v>3</v>
      </c>
    </row>
    <row r="92" spans="1:13" x14ac:dyDescent="0.25">
      <c r="A92">
        <v>1091</v>
      </c>
      <c r="B92" t="s">
        <v>9</v>
      </c>
      <c r="C92" t="s">
        <v>17</v>
      </c>
      <c r="D92" t="s">
        <v>32</v>
      </c>
      <c r="E92" s="10">
        <v>22558014</v>
      </c>
      <c r="F92" s="12">
        <v>7.0000000000000007E-2</v>
      </c>
      <c r="G92" s="12"/>
      <c r="H92">
        <v>18</v>
      </c>
      <c r="J92" t="s">
        <v>13</v>
      </c>
      <c r="K92" s="10">
        <v>341283</v>
      </c>
      <c r="L92" s="10"/>
      <c r="M92">
        <v>9</v>
      </c>
    </row>
    <row r="93" spans="1:13" x14ac:dyDescent="0.25">
      <c r="A93">
        <v>1092</v>
      </c>
      <c r="B93" t="s">
        <v>9</v>
      </c>
      <c r="C93" t="s">
        <v>23</v>
      </c>
      <c r="D93" t="s">
        <v>30</v>
      </c>
      <c r="E93" s="10">
        <v>3777147</v>
      </c>
      <c r="F93" s="12">
        <v>0.14000000000000001</v>
      </c>
      <c r="G93" s="12"/>
      <c r="H93">
        <v>13</v>
      </c>
      <c r="J93" t="s">
        <v>15</v>
      </c>
      <c r="K93" s="10">
        <v>243542</v>
      </c>
      <c r="L93" s="10"/>
      <c r="M93">
        <v>1</v>
      </c>
    </row>
    <row r="94" spans="1:13" x14ac:dyDescent="0.25">
      <c r="A94">
        <v>1093</v>
      </c>
      <c r="B94" t="s">
        <v>29</v>
      </c>
      <c r="C94" t="s">
        <v>25</v>
      </c>
      <c r="D94" t="s">
        <v>24</v>
      </c>
      <c r="E94" s="10">
        <v>261475</v>
      </c>
      <c r="F94" s="12">
        <v>0.06</v>
      </c>
      <c r="G94" s="12"/>
      <c r="H94">
        <v>10</v>
      </c>
      <c r="J94" t="s">
        <v>13</v>
      </c>
      <c r="K94" s="10">
        <v>622917</v>
      </c>
      <c r="L94" s="10"/>
      <c r="M94">
        <v>5</v>
      </c>
    </row>
    <row r="95" spans="1:13" x14ac:dyDescent="0.25">
      <c r="A95">
        <v>1094</v>
      </c>
      <c r="B95" t="s">
        <v>9</v>
      </c>
      <c r="C95" t="s">
        <v>23</v>
      </c>
      <c r="D95" t="s">
        <v>11</v>
      </c>
      <c r="E95" s="10">
        <v>5083344</v>
      </c>
      <c r="F95" s="12">
        <v>0.18</v>
      </c>
      <c r="G95" s="12"/>
      <c r="H95">
        <v>7</v>
      </c>
      <c r="J95" t="s">
        <v>20</v>
      </c>
      <c r="K95" s="10">
        <v>842708</v>
      </c>
      <c r="L95" s="10"/>
      <c r="M95">
        <v>4</v>
      </c>
    </row>
    <row r="96" spans="1:13" x14ac:dyDescent="0.25">
      <c r="A96">
        <v>1095</v>
      </c>
      <c r="B96" t="s">
        <v>29</v>
      </c>
      <c r="C96" t="s">
        <v>25</v>
      </c>
      <c r="D96" t="s">
        <v>34</v>
      </c>
      <c r="E96" s="10">
        <v>1027637</v>
      </c>
      <c r="F96" s="12">
        <v>0.16</v>
      </c>
      <c r="G96" s="12"/>
      <c r="H96">
        <v>4</v>
      </c>
      <c r="J96" t="s">
        <v>20</v>
      </c>
      <c r="K96" s="10">
        <v>324266</v>
      </c>
      <c r="L96" s="10"/>
      <c r="M96">
        <v>9</v>
      </c>
    </row>
    <row r="97" spans="1:13" x14ac:dyDescent="0.25">
      <c r="A97">
        <v>1096</v>
      </c>
      <c r="B97" t="s">
        <v>16</v>
      </c>
      <c r="C97" t="s">
        <v>10</v>
      </c>
      <c r="D97" t="s">
        <v>32</v>
      </c>
      <c r="E97" s="10">
        <v>36136999</v>
      </c>
      <c r="F97" s="12">
        <v>0.14000000000000001</v>
      </c>
      <c r="G97" s="12"/>
      <c r="H97">
        <v>3</v>
      </c>
      <c r="J97" t="s">
        <v>15</v>
      </c>
      <c r="K97" s="10">
        <v>177881</v>
      </c>
      <c r="L97" s="10"/>
      <c r="M97">
        <v>3</v>
      </c>
    </row>
    <row r="98" spans="1:13" x14ac:dyDescent="0.25">
      <c r="A98">
        <v>1097</v>
      </c>
      <c r="B98" t="s">
        <v>22</v>
      </c>
      <c r="C98" t="s">
        <v>25</v>
      </c>
      <c r="D98" t="s">
        <v>28</v>
      </c>
      <c r="E98" s="10">
        <v>19482635</v>
      </c>
      <c r="F98" s="12">
        <v>0.09</v>
      </c>
      <c r="G98" s="12"/>
      <c r="H98">
        <v>5</v>
      </c>
      <c r="J98" t="s">
        <v>13</v>
      </c>
      <c r="K98" s="10">
        <v>239820</v>
      </c>
      <c r="L98" s="10"/>
      <c r="M98">
        <v>10</v>
      </c>
    </row>
    <row r="99" spans="1:13" x14ac:dyDescent="0.25">
      <c r="A99">
        <v>1098</v>
      </c>
      <c r="B99" t="s">
        <v>22</v>
      </c>
      <c r="C99" t="s">
        <v>25</v>
      </c>
      <c r="D99" t="s">
        <v>14</v>
      </c>
      <c r="E99" s="10">
        <v>174415</v>
      </c>
      <c r="F99" s="12">
        <v>0.08</v>
      </c>
      <c r="G99" s="12"/>
      <c r="H99">
        <v>5</v>
      </c>
      <c r="J99" t="s">
        <v>15</v>
      </c>
      <c r="K99" s="10">
        <v>674005</v>
      </c>
      <c r="L99" s="10"/>
      <c r="M99">
        <v>10</v>
      </c>
    </row>
    <row r="100" spans="1:13" x14ac:dyDescent="0.25">
      <c r="A100">
        <v>1099</v>
      </c>
      <c r="B100" t="s">
        <v>9</v>
      </c>
      <c r="C100" t="s">
        <v>23</v>
      </c>
      <c r="D100" t="s">
        <v>33</v>
      </c>
      <c r="E100" s="10">
        <v>4374298</v>
      </c>
      <c r="F100" s="12">
        <v>0.05</v>
      </c>
      <c r="G100" s="12"/>
      <c r="H100">
        <v>2</v>
      </c>
      <c r="J100" t="s">
        <v>15</v>
      </c>
      <c r="K100" s="10">
        <v>524208</v>
      </c>
      <c r="L100" s="10"/>
      <c r="M100">
        <v>12</v>
      </c>
    </row>
    <row r="101" spans="1:13" x14ac:dyDescent="0.25">
      <c r="A101">
        <v>1100</v>
      </c>
      <c r="B101" t="s">
        <v>16</v>
      </c>
      <c r="C101" t="s">
        <v>23</v>
      </c>
      <c r="D101" t="s">
        <v>11</v>
      </c>
      <c r="E101" s="10">
        <v>26331526</v>
      </c>
      <c r="F101" s="12">
        <v>0.08</v>
      </c>
      <c r="G101" s="12"/>
      <c r="H101">
        <v>14</v>
      </c>
      <c r="J101" t="s">
        <v>15</v>
      </c>
      <c r="K101" s="10">
        <v>871267</v>
      </c>
      <c r="L101" s="10"/>
      <c r="M101">
        <v>3</v>
      </c>
    </row>
    <row r="102" spans="1:13" x14ac:dyDescent="0.25">
      <c r="A102">
        <v>1101</v>
      </c>
      <c r="B102" t="s">
        <v>31</v>
      </c>
      <c r="C102" t="s">
        <v>10</v>
      </c>
      <c r="D102" t="s">
        <v>34</v>
      </c>
      <c r="E102" s="10">
        <v>4552833</v>
      </c>
      <c r="F102" s="12">
        <v>0.17</v>
      </c>
      <c r="G102" s="12"/>
      <c r="H102">
        <v>18</v>
      </c>
      <c r="J102" t="s">
        <v>20</v>
      </c>
      <c r="K102" s="10">
        <v>134880</v>
      </c>
      <c r="L102" s="10"/>
      <c r="M102">
        <v>9</v>
      </c>
    </row>
    <row r="103" spans="1:13" x14ac:dyDescent="0.25">
      <c r="A103">
        <v>1102</v>
      </c>
      <c r="B103" t="s">
        <v>16</v>
      </c>
      <c r="C103" t="s">
        <v>25</v>
      </c>
      <c r="D103" t="s">
        <v>24</v>
      </c>
      <c r="E103" s="10">
        <v>234438</v>
      </c>
      <c r="F103" s="12">
        <v>0.1</v>
      </c>
      <c r="G103" s="12"/>
      <c r="H103">
        <v>16</v>
      </c>
      <c r="J103" t="s">
        <v>20</v>
      </c>
      <c r="K103" s="10">
        <v>246436</v>
      </c>
      <c r="L103" s="10"/>
      <c r="M103">
        <v>4</v>
      </c>
    </row>
    <row r="104" spans="1:13" x14ac:dyDescent="0.25">
      <c r="A104">
        <v>1103</v>
      </c>
      <c r="B104" t="s">
        <v>31</v>
      </c>
      <c r="C104" t="s">
        <v>10</v>
      </c>
      <c r="D104" t="s">
        <v>33</v>
      </c>
      <c r="E104" s="10">
        <v>4020047</v>
      </c>
      <c r="F104" s="12">
        <v>0.17</v>
      </c>
      <c r="G104" s="12"/>
      <c r="H104">
        <v>1</v>
      </c>
      <c r="J104" t="s">
        <v>13</v>
      </c>
      <c r="K104" s="10">
        <v>111814</v>
      </c>
      <c r="L104" s="10"/>
      <c r="M104">
        <v>6</v>
      </c>
    </row>
    <row r="105" spans="1:13" x14ac:dyDescent="0.25">
      <c r="A105">
        <v>1104</v>
      </c>
      <c r="B105" t="s">
        <v>29</v>
      </c>
      <c r="C105" t="s">
        <v>25</v>
      </c>
      <c r="D105" t="s">
        <v>30</v>
      </c>
      <c r="E105" s="10">
        <v>1496272</v>
      </c>
      <c r="F105" s="12">
        <v>0.09</v>
      </c>
      <c r="G105" s="12"/>
      <c r="H105">
        <v>10</v>
      </c>
      <c r="J105" t="s">
        <v>13</v>
      </c>
      <c r="K105" s="10">
        <v>932754</v>
      </c>
      <c r="L105" s="10"/>
      <c r="M105">
        <v>7</v>
      </c>
    </row>
    <row r="106" spans="1:13" x14ac:dyDescent="0.25">
      <c r="A106">
        <v>1105</v>
      </c>
      <c r="B106" t="s">
        <v>9</v>
      </c>
      <c r="C106" t="s">
        <v>10</v>
      </c>
      <c r="D106" t="s">
        <v>34</v>
      </c>
      <c r="E106" s="10">
        <v>3459744</v>
      </c>
      <c r="F106" s="12">
        <v>0.19</v>
      </c>
      <c r="G106" s="12"/>
      <c r="H106">
        <v>10</v>
      </c>
      <c r="J106" t="s">
        <v>15</v>
      </c>
      <c r="K106" s="10">
        <v>765668</v>
      </c>
      <c r="L106" s="10"/>
      <c r="M106">
        <v>7</v>
      </c>
    </row>
    <row r="107" spans="1:13" x14ac:dyDescent="0.25">
      <c r="A107">
        <v>1106</v>
      </c>
      <c r="B107" t="s">
        <v>22</v>
      </c>
      <c r="C107" t="s">
        <v>25</v>
      </c>
      <c r="D107" t="s">
        <v>32</v>
      </c>
      <c r="E107" s="10">
        <v>10984530</v>
      </c>
      <c r="F107" s="12">
        <v>0.2</v>
      </c>
      <c r="G107" s="12"/>
      <c r="H107">
        <v>9</v>
      </c>
      <c r="J107" t="s">
        <v>20</v>
      </c>
      <c r="K107" s="10">
        <v>810086</v>
      </c>
      <c r="L107" s="10"/>
      <c r="M107">
        <v>11</v>
      </c>
    </row>
    <row r="108" spans="1:13" x14ac:dyDescent="0.25">
      <c r="A108">
        <v>1107</v>
      </c>
      <c r="B108" t="s">
        <v>31</v>
      </c>
      <c r="C108" t="s">
        <v>23</v>
      </c>
      <c r="D108" t="s">
        <v>34</v>
      </c>
      <c r="E108" s="10">
        <v>2544695</v>
      </c>
      <c r="F108" s="12">
        <v>0.11</v>
      </c>
      <c r="G108" s="12"/>
      <c r="H108">
        <v>5</v>
      </c>
      <c r="J108" t="s">
        <v>20</v>
      </c>
      <c r="K108" s="10">
        <v>522379</v>
      </c>
      <c r="L108" s="10"/>
      <c r="M108">
        <v>13</v>
      </c>
    </row>
    <row r="109" spans="1:13" x14ac:dyDescent="0.25">
      <c r="A109">
        <v>1108</v>
      </c>
      <c r="B109" t="s">
        <v>22</v>
      </c>
      <c r="C109" t="s">
        <v>25</v>
      </c>
      <c r="D109" t="s">
        <v>32</v>
      </c>
      <c r="E109" s="10">
        <v>32287105</v>
      </c>
      <c r="F109" s="12">
        <v>0.2</v>
      </c>
      <c r="G109" s="12"/>
      <c r="H109">
        <v>19</v>
      </c>
      <c r="J109" t="s">
        <v>15</v>
      </c>
      <c r="K109" s="10">
        <v>469153</v>
      </c>
      <c r="L109" s="10"/>
      <c r="M109">
        <v>3</v>
      </c>
    </row>
    <row r="110" spans="1:13" x14ac:dyDescent="0.25">
      <c r="A110">
        <v>1109</v>
      </c>
      <c r="B110" t="s">
        <v>31</v>
      </c>
      <c r="C110" t="s">
        <v>10</v>
      </c>
      <c r="D110" t="s">
        <v>14</v>
      </c>
      <c r="E110" s="10">
        <v>193559</v>
      </c>
      <c r="F110" s="12">
        <v>0.14000000000000001</v>
      </c>
      <c r="G110" s="12"/>
      <c r="H110">
        <v>19</v>
      </c>
      <c r="J110" t="s">
        <v>15</v>
      </c>
      <c r="K110" s="10">
        <v>395409</v>
      </c>
      <c r="L110" s="10"/>
      <c r="M110">
        <v>1</v>
      </c>
    </row>
    <row r="111" spans="1:13" x14ac:dyDescent="0.25">
      <c r="A111">
        <v>1110</v>
      </c>
      <c r="B111" t="s">
        <v>29</v>
      </c>
      <c r="C111" t="s">
        <v>25</v>
      </c>
      <c r="D111" t="s">
        <v>33</v>
      </c>
      <c r="E111" s="10">
        <v>1425285</v>
      </c>
      <c r="F111" s="12">
        <v>0.06</v>
      </c>
      <c r="G111" s="12"/>
      <c r="H111">
        <v>10</v>
      </c>
      <c r="J111" t="s">
        <v>13</v>
      </c>
      <c r="K111" s="10">
        <v>298331</v>
      </c>
      <c r="L111" s="10"/>
      <c r="M111">
        <v>8</v>
      </c>
    </row>
    <row r="112" spans="1:13" x14ac:dyDescent="0.25">
      <c r="A112">
        <v>1111</v>
      </c>
      <c r="B112" t="s">
        <v>16</v>
      </c>
      <c r="C112" t="s">
        <v>17</v>
      </c>
      <c r="D112" t="s">
        <v>14</v>
      </c>
      <c r="E112" s="10">
        <v>280692</v>
      </c>
      <c r="F112" s="12">
        <v>0.15</v>
      </c>
      <c r="G112" s="12"/>
      <c r="H112">
        <v>7</v>
      </c>
      <c r="J112" t="s">
        <v>20</v>
      </c>
      <c r="K112" s="10">
        <v>215502</v>
      </c>
      <c r="L112" s="10"/>
      <c r="M112">
        <v>13</v>
      </c>
    </row>
    <row r="113" spans="1:13" x14ac:dyDescent="0.25">
      <c r="A113">
        <v>1112</v>
      </c>
      <c r="B113" t="s">
        <v>29</v>
      </c>
      <c r="C113" t="s">
        <v>23</v>
      </c>
      <c r="D113" t="s">
        <v>30</v>
      </c>
      <c r="E113" s="10">
        <v>3071542</v>
      </c>
      <c r="F113" s="12">
        <v>0.05</v>
      </c>
      <c r="G113" s="12"/>
      <c r="H113">
        <v>16</v>
      </c>
      <c r="J113" t="s">
        <v>15</v>
      </c>
      <c r="K113" s="10">
        <v>560936</v>
      </c>
      <c r="L113" s="10"/>
      <c r="M113">
        <v>4</v>
      </c>
    </row>
    <row r="114" spans="1:13" x14ac:dyDescent="0.25">
      <c r="A114">
        <v>1113</v>
      </c>
      <c r="B114" t="s">
        <v>9</v>
      </c>
      <c r="C114" t="s">
        <v>17</v>
      </c>
      <c r="D114" t="s">
        <v>11</v>
      </c>
      <c r="E114" s="10">
        <v>4322436</v>
      </c>
      <c r="F114" s="12">
        <v>0.1</v>
      </c>
      <c r="G114" s="12"/>
      <c r="H114">
        <v>17</v>
      </c>
      <c r="J114" t="s">
        <v>20</v>
      </c>
      <c r="K114" s="10">
        <v>134516</v>
      </c>
      <c r="L114" s="10"/>
      <c r="M114">
        <v>12</v>
      </c>
    </row>
    <row r="115" spans="1:13" x14ac:dyDescent="0.25">
      <c r="A115">
        <v>1114</v>
      </c>
      <c r="B115" t="s">
        <v>22</v>
      </c>
      <c r="C115" t="s">
        <v>23</v>
      </c>
      <c r="D115" t="s">
        <v>18</v>
      </c>
      <c r="E115" s="10">
        <v>4705032</v>
      </c>
      <c r="F115" s="12">
        <v>0.12</v>
      </c>
      <c r="G115" s="12"/>
      <c r="H115">
        <v>12</v>
      </c>
      <c r="J115" t="s">
        <v>15</v>
      </c>
      <c r="K115" s="10">
        <v>655526</v>
      </c>
      <c r="L115" s="10"/>
      <c r="M115">
        <v>9</v>
      </c>
    </row>
    <row r="116" spans="1:13" x14ac:dyDescent="0.25">
      <c r="A116">
        <v>1115</v>
      </c>
      <c r="B116" t="s">
        <v>31</v>
      </c>
      <c r="C116" t="s">
        <v>25</v>
      </c>
      <c r="D116" t="s">
        <v>18</v>
      </c>
      <c r="E116" s="10">
        <v>4165425</v>
      </c>
      <c r="F116" s="12">
        <v>0.19</v>
      </c>
      <c r="G116" s="12"/>
      <c r="H116">
        <v>10</v>
      </c>
      <c r="J116" t="s">
        <v>15</v>
      </c>
      <c r="K116" s="10">
        <v>159969</v>
      </c>
      <c r="L116" s="10"/>
      <c r="M116">
        <v>9</v>
      </c>
    </row>
    <row r="117" spans="1:13" x14ac:dyDescent="0.25">
      <c r="A117">
        <v>1116</v>
      </c>
      <c r="B117" t="s">
        <v>22</v>
      </c>
      <c r="C117" t="s">
        <v>23</v>
      </c>
      <c r="D117" t="s">
        <v>34</v>
      </c>
      <c r="E117" s="10">
        <v>8635107</v>
      </c>
      <c r="F117" s="12">
        <v>0.14000000000000001</v>
      </c>
      <c r="G117" s="12"/>
      <c r="H117">
        <v>9</v>
      </c>
      <c r="J117" t="s">
        <v>20</v>
      </c>
      <c r="K117" s="10">
        <v>531965</v>
      </c>
      <c r="L117" s="10"/>
      <c r="M117">
        <v>8</v>
      </c>
    </row>
    <row r="118" spans="1:13" x14ac:dyDescent="0.25">
      <c r="A118">
        <v>1117</v>
      </c>
      <c r="B118" t="s">
        <v>22</v>
      </c>
      <c r="C118" t="s">
        <v>10</v>
      </c>
      <c r="D118" t="s">
        <v>24</v>
      </c>
      <c r="E118" s="10">
        <v>641614</v>
      </c>
      <c r="F118" s="12">
        <v>0.19</v>
      </c>
      <c r="G118" s="12"/>
      <c r="H118">
        <v>17</v>
      </c>
      <c r="J118" t="s">
        <v>20</v>
      </c>
      <c r="K118" s="10">
        <v>262774</v>
      </c>
      <c r="L118" s="10"/>
      <c r="M118">
        <v>13</v>
      </c>
    </row>
    <row r="119" spans="1:13" x14ac:dyDescent="0.25">
      <c r="A119">
        <v>1118</v>
      </c>
      <c r="B119" t="s">
        <v>22</v>
      </c>
      <c r="C119" t="s">
        <v>17</v>
      </c>
      <c r="D119" t="s">
        <v>26</v>
      </c>
      <c r="E119" s="10">
        <v>22563492</v>
      </c>
      <c r="F119" s="12">
        <v>0.06</v>
      </c>
      <c r="G119" s="12"/>
      <c r="H119">
        <v>4</v>
      </c>
      <c r="J119" t="s">
        <v>13</v>
      </c>
      <c r="K119" s="10">
        <v>365345</v>
      </c>
      <c r="L119" s="10"/>
      <c r="M119">
        <v>14</v>
      </c>
    </row>
    <row r="120" spans="1:13" x14ac:dyDescent="0.25">
      <c r="A120">
        <v>1119</v>
      </c>
      <c r="B120" t="s">
        <v>29</v>
      </c>
      <c r="C120" t="s">
        <v>23</v>
      </c>
      <c r="D120" t="s">
        <v>28</v>
      </c>
      <c r="E120" s="10">
        <v>4904995</v>
      </c>
      <c r="F120" s="12">
        <v>0.1</v>
      </c>
      <c r="G120" s="12"/>
      <c r="H120">
        <v>20</v>
      </c>
      <c r="J120" t="s">
        <v>20</v>
      </c>
      <c r="K120" s="10">
        <v>529115</v>
      </c>
      <c r="L120" s="10"/>
      <c r="M120">
        <v>9</v>
      </c>
    </row>
    <row r="121" spans="1:13" x14ac:dyDescent="0.25">
      <c r="A121">
        <v>1120</v>
      </c>
      <c r="B121" t="s">
        <v>29</v>
      </c>
      <c r="C121" t="s">
        <v>23</v>
      </c>
      <c r="D121" t="s">
        <v>30</v>
      </c>
      <c r="E121" s="10">
        <v>4052599</v>
      </c>
      <c r="F121" s="12">
        <v>0.16</v>
      </c>
      <c r="G121" s="12"/>
      <c r="H121">
        <v>12</v>
      </c>
      <c r="J121" t="s">
        <v>15</v>
      </c>
      <c r="K121" s="10">
        <v>387236</v>
      </c>
      <c r="L121" s="10"/>
      <c r="M121">
        <v>2</v>
      </c>
    </row>
    <row r="122" spans="1:13" x14ac:dyDescent="0.25">
      <c r="A122">
        <v>1121</v>
      </c>
      <c r="B122" t="s">
        <v>31</v>
      </c>
      <c r="C122" t="s">
        <v>17</v>
      </c>
      <c r="D122" t="s">
        <v>32</v>
      </c>
      <c r="E122" s="10">
        <v>23748320</v>
      </c>
      <c r="F122" s="12">
        <v>0.16</v>
      </c>
      <c r="G122" s="12"/>
      <c r="H122">
        <v>15</v>
      </c>
      <c r="J122" t="s">
        <v>13</v>
      </c>
      <c r="K122" s="10">
        <v>403930</v>
      </c>
      <c r="L122" s="10"/>
      <c r="M122">
        <v>12</v>
      </c>
    </row>
    <row r="123" spans="1:13" x14ac:dyDescent="0.25">
      <c r="A123">
        <v>1122</v>
      </c>
      <c r="B123" t="s">
        <v>29</v>
      </c>
      <c r="C123" t="s">
        <v>25</v>
      </c>
      <c r="D123" t="s">
        <v>11</v>
      </c>
      <c r="E123" s="10">
        <v>38289800</v>
      </c>
      <c r="F123" s="12">
        <v>0.19</v>
      </c>
      <c r="G123" s="12"/>
      <c r="H123">
        <v>14</v>
      </c>
      <c r="J123" t="s">
        <v>15</v>
      </c>
      <c r="K123" s="10">
        <v>682962</v>
      </c>
      <c r="L123" s="10"/>
      <c r="M123">
        <v>5</v>
      </c>
    </row>
    <row r="124" spans="1:13" x14ac:dyDescent="0.25">
      <c r="A124">
        <v>1123</v>
      </c>
      <c r="B124" t="s">
        <v>9</v>
      </c>
      <c r="C124" t="s">
        <v>23</v>
      </c>
      <c r="D124" t="s">
        <v>14</v>
      </c>
      <c r="E124" s="10">
        <v>168446</v>
      </c>
      <c r="F124" s="12">
        <v>0.11</v>
      </c>
      <c r="G124" s="12"/>
      <c r="H124">
        <v>11</v>
      </c>
      <c r="J124" t="s">
        <v>20</v>
      </c>
      <c r="K124" s="10">
        <v>348140</v>
      </c>
      <c r="L124" s="10"/>
      <c r="M124">
        <v>11</v>
      </c>
    </row>
    <row r="125" spans="1:13" x14ac:dyDescent="0.25">
      <c r="A125">
        <v>1124</v>
      </c>
      <c r="B125" t="s">
        <v>29</v>
      </c>
      <c r="C125" t="s">
        <v>10</v>
      </c>
      <c r="D125" t="s">
        <v>34</v>
      </c>
      <c r="E125" s="10">
        <v>4516163</v>
      </c>
      <c r="F125" s="12">
        <v>0.09</v>
      </c>
      <c r="G125" s="12"/>
      <c r="H125">
        <v>5</v>
      </c>
      <c r="J125" t="s">
        <v>15</v>
      </c>
      <c r="K125" s="10">
        <v>162361</v>
      </c>
      <c r="L125" s="10"/>
      <c r="M125">
        <v>7</v>
      </c>
    </row>
    <row r="126" spans="1:13" x14ac:dyDescent="0.25">
      <c r="A126">
        <v>1125</v>
      </c>
      <c r="B126" t="s">
        <v>9</v>
      </c>
      <c r="C126" t="s">
        <v>10</v>
      </c>
      <c r="D126" t="s">
        <v>24</v>
      </c>
      <c r="E126" s="10">
        <v>421584</v>
      </c>
      <c r="F126" s="12">
        <v>0.15</v>
      </c>
      <c r="G126" s="12"/>
      <c r="H126">
        <v>16</v>
      </c>
      <c r="J126" t="s">
        <v>15</v>
      </c>
      <c r="K126" s="10">
        <v>783797</v>
      </c>
      <c r="L126" s="10"/>
      <c r="M126">
        <v>10</v>
      </c>
    </row>
    <row r="127" spans="1:13" x14ac:dyDescent="0.25">
      <c r="A127">
        <v>1126</v>
      </c>
      <c r="B127" t="s">
        <v>9</v>
      </c>
      <c r="C127" t="s">
        <v>23</v>
      </c>
      <c r="D127" t="s">
        <v>28</v>
      </c>
      <c r="E127" s="10">
        <v>3043424</v>
      </c>
      <c r="F127" s="12">
        <v>0.14000000000000001</v>
      </c>
      <c r="G127" s="12"/>
      <c r="H127">
        <v>3</v>
      </c>
      <c r="J127" t="s">
        <v>20</v>
      </c>
      <c r="K127" s="10">
        <v>617231</v>
      </c>
      <c r="L127" s="10"/>
      <c r="M127">
        <v>12</v>
      </c>
    </row>
    <row r="128" spans="1:13" x14ac:dyDescent="0.25">
      <c r="A128">
        <v>1127</v>
      </c>
      <c r="B128" t="s">
        <v>31</v>
      </c>
      <c r="C128" t="s">
        <v>17</v>
      </c>
      <c r="D128" t="s">
        <v>24</v>
      </c>
      <c r="E128" s="10">
        <v>392719</v>
      </c>
      <c r="F128" s="12">
        <v>0.18</v>
      </c>
      <c r="G128" s="12"/>
      <c r="H128">
        <v>20</v>
      </c>
      <c r="J128" t="s">
        <v>20</v>
      </c>
      <c r="K128" s="10">
        <v>323942</v>
      </c>
      <c r="L128" s="10"/>
      <c r="M128">
        <v>1</v>
      </c>
    </row>
    <row r="129" spans="1:13" x14ac:dyDescent="0.25">
      <c r="A129">
        <v>1128</v>
      </c>
      <c r="B129" t="s">
        <v>22</v>
      </c>
      <c r="C129" t="s">
        <v>25</v>
      </c>
      <c r="D129" t="s">
        <v>24</v>
      </c>
      <c r="E129" s="10">
        <v>126513</v>
      </c>
      <c r="F129" s="12">
        <v>0.14000000000000001</v>
      </c>
      <c r="G129" s="12"/>
      <c r="H129">
        <v>19</v>
      </c>
      <c r="J129" t="s">
        <v>20</v>
      </c>
      <c r="K129" s="10">
        <v>685491</v>
      </c>
      <c r="L129" s="10"/>
      <c r="M129">
        <v>8</v>
      </c>
    </row>
    <row r="130" spans="1:13" x14ac:dyDescent="0.25">
      <c r="A130">
        <v>1129</v>
      </c>
      <c r="B130" t="s">
        <v>22</v>
      </c>
      <c r="C130" t="s">
        <v>23</v>
      </c>
      <c r="D130" t="s">
        <v>33</v>
      </c>
      <c r="E130" s="10">
        <v>2241707</v>
      </c>
      <c r="F130" s="12">
        <v>0.09</v>
      </c>
      <c r="G130" s="12"/>
      <c r="H130">
        <v>6</v>
      </c>
      <c r="J130" t="s">
        <v>13</v>
      </c>
      <c r="K130" s="10">
        <v>915386</v>
      </c>
      <c r="L130" s="10"/>
      <c r="M130">
        <v>7</v>
      </c>
    </row>
    <row r="131" spans="1:13" x14ac:dyDescent="0.25">
      <c r="A131">
        <v>1130</v>
      </c>
      <c r="B131" t="s">
        <v>16</v>
      </c>
      <c r="C131" t="s">
        <v>23</v>
      </c>
      <c r="D131" t="s">
        <v>26</v>
      </c>
      <c r="E131" s="10">
        <v>15513409</v>
      </c>
      <c r="F131" s="12">
        <v>0.08</v>
      </c>
      <c r="G131" s="12"/>
      <c r="H131">
        <v>18</v>
      </c>
      <c r="J131" t="s">
        <v>15</v>
      </c>
      <c r="K131" s="10">
        <v>755810</v>
      </c>
      <c r="L131" s="10"/>
      <c r="M131">
        <v>1</v>
      </c>
    </row>
    <row r="132" spans="1:13" x14ac:dyDescent="0.25">
      <c r="A132">
        <v>1131</v>
      </c>
      <c r="B132" t="s">
        <v>9</v>
      </c>
      <c r="C132" t="s">
        <v>23</v>
      </c>
      <c r="D132" t="s">
        <v>24</v>
      </c>
      <c r="E132" s="10">
        <v>348134</v>
      </c>
      <c r="F132" s="12">
        <v>0.1</v>
      </c>
      <c r="G132" s="12"/>
      <c r="H132">
        <v>1</v>
      </c>
      <c r="J132" t="s">
        <v>13</v>
      </c>
      <c r="K132" s="10">
        <v>118165</v>
      </c>
      <c r="L132" s="10"/>
      <c r="M132">
        <v>6</v>
      </c>
    </row>
    <row r="133" spans="1:13" x14ac:dyDescent="0.25">
      <c r="A133">
        <v>1132</v>
      </c>
      <c r="B133" t="s">
        <v>16</v>
      </c>
      <c r="C133" t="s">
        <v>25</v>
      </c>
      <c r="D133" t="s">
        <v>32</v>
      </c>
      <c r="E133" s="10">
        <v>36593863</v>
      </c>
      <c r="F133" s="12">
        <v>0.17</v>
      </c>
      <c r="G133" s="12"/>
      <c r="H133">
        <v>12</v>
      </c>
      <c r="J133" t="s">
        <v>15</v>
      </c>
      <c r="K133" s="10">
        <v>906426</v>
      </c>
      <c r="L133" s="10"/>
      <c r="M133">
        <v>10</v>
      </c>
    </row>
    <row r="134" spans="1:13" x14ac:dyDescent="0.25">
      <c r="A134">
        <v>1133</v>
      </c>
      <c r="B134" t="s">
        <v>22</v>
      </c>
      <c r="C134" t="s">
        <v>17</v>
      </c>
      <c r="D134" t="s">
        <v>32</v>
      </c>
      <c r="E134" s="10">
        <v>28516443</v>
      </c>
      <c r="F134" s="12">
        <v>0.17</v>
      </c>
      <c r="G134" s="12"/>
      <c r="H134">
        <v>3</v>
      </c>
      <c r="J134" t="s">
        <v>13</v>
      </c>
      <c r="K134" s="10">
        <v>650783</v>
      </c>
      <c r="L134" s="10"/>
      <c r="M134">
        <v>7</v>
      </c>
    </row>
    <row r="135" spans="1:13" x14ac:dyDescent="0.25">
      <c r="A135">
        <v>1134</v>
      </c>
      <c r="B135" t="s">
        <v>9</v>
      </c>
      <c r="C135" t="s">
        <v>10</v>
      </c>
      <c r="D135" t="s">
        <v>18</v>
      </c>
      <c r="E135" s="10">
        <v>3771576</v>
      </c>
      <c r="F135" s="12">
        <v>0.1</v>
      </c>
      <c r="G135" s="12"/>
      <c r="H135">
        <v>3</v>
      </c>
      <c r="J135" t="s">
        <v>13</v>
      </c>
      <c r="K135" s="10">
        <v>259715</v>
      </c>
      <c r="L135" s="10"/>
      <c r="M135">
        <v>8</v>
      </c>
    </row>
    <row r="136" spans="1:13" x14ac:dyDescent="0.25">
      <c r="A136">
        <v>1135</v>
      </c>
      <c r="B136" t="s">
        <v>31</v>
      </c>
      <c r="C136" t="s">
        <v>25</v>
      </c>
      <c r="D136" t="s">
        <v>34</v>
      </c>
      <c r="E136" s="10">
        <v>3858717</v>
      </c>
      <c r="F136" s="12">
        <v>0.13</v>
      </c>
      <c r="G136" s="12"/>
      <c r="H136">
        <v>19</v>
      </c>
      <c r="J136" t="s">
        <v>20</v>
      </c>
      <c r="K136" s="10">
        <v>491455</v>
      </c>
      <c r="L136" s="10"/>
      <c r="M136">
        <v>8</v>
      </c>
    </row>
    <row r="137" spans="1:13" x14ac:dyDescent="0.25">
      <c r="A137">
        <v>1136</v>
      </c>
      <c r="B137" t="s">
        <v>31</v>
      </c>
      <c r="C137" t="s">
        <v>25</v>
      </c>
      <c r="D137" t="s">
        <v>26</v>
      </c>
      <c r="E137" s="10">
        <v>10036134</v>
      </c>
      <c r="F137" s="12">
        <v>0.1</v>
      </c>
      <c r="G137" s="12"/>
      <c r="H137">
        <v>10</v>
      </c>
      <c r="J137" t="s">
        <v>20</v>
      </c>
      <c r="K137" s="10">
        <v>151387</v>
      </c>
      <c r="L137" s="10"/>
      <c r="M137">
        <v>5</v>
      </c>
    </row>
    <row r="138" spans="1:13" x14ac:dyDescent="0.25">
      <c r="A138">
        <v>1137</v>
      </c>
      <c r="B138" t="s">
        <v>31</v>
      </c>
      <c r="C138" t="s">
        <v>23</v>
      </c>
      <c r="D138" t="s">
        <v>33</v>
      </c>
      <c r="E138" s="10">
        <v>1754239</v>
      </c>
      <c r="F138" s="12">
        <v>0.13</v>
      </c>
      <c r="G138" s="12"/>
      <c r="H138">
        <v>14</v>
      </c>
      <c r="J138" t="s">
        <v>15</v>
      </c>
      <c r="K138" s="10">
        <v>909282</v>
      </c>
      <c r="L138" s="10"/>
      <c r="M138">
        <v>2</v>
      </c>
    </row>
    <row r="139" spans="1:13" x14ac:dyDescent="0.25">
      <c r="A139">
        <v>1138</v>
      </c>
      <c r="B139" t="s">
        <v>22</v>
      </c>
      <c r="C139" t="s">
        <v>10</v>
      </c>
      <c r="D139" t="s">
        <v>26</v>
      </c>
      <c r="E139" s="10">
        <v>4132113</v>
      </c>
      <c r="F139" s="12">
        <v>0.09</v>
      </c>
      <c r="G139" s="12"/>
      <c r="H139">
        <v>1</v>
      </c>
      <c r="J139" t="s">
        <v>15</v>
      </c>
      <c r="K139" s="10">
        <v>550653</v>
      </c>
      <c r="L139" s="10"/>
      <c r="M139">
        <v>6</v>
      </c>
    </row>
    <row r="140" spans="1:13" x14ac:dyDescent="0.25">
      <c r="A140">
        <v>1139</v>
      </c>
      <c r="B140" t="s">
        <v>29</v>
      </c>
      <c r="C140" t="s">
        <v>10</v>
      </c>
      <c r="D140" t="s">
        <v>18</v>
      </c>
      <c r="E140" s="10">
        <v>4230138</v>
      </c>
      <c r="F140" s="12">
        <v>0.13</v>
      </c>
      <c r="G140" s="12"/>
      <c r="H140">
        <v>20</v>
      </c>
      <c r="J140" t="s">
        <v>15</v>
      </c>
      <c r="K140" s="10">
        <v>712330</v>
      </c>
      <c r="L140" s="10"/>
      <c r="M140">
        <v>13</v>
      </c>
    </row>
    <row r="141" spans="1:13" x14ac:dyDescent="0.25">
      <c r="A141">
        <v>1140</v>
      </c>
      <c r="B141" t="s">
        <v>31</v>
      </c>
      <c r="C141" t="s">
        <v>25</v>
      </c>
      <c r="D141" t="s">
        <v>28</v>
      </c>
      <c r="E141" s="10">
        <v>2792367</v>
      </c>
      <c r="F141" s="12">
        <v>0.09</v>
      </c>
      <c r="G141" s="12"/>
      <c r="H141">
        <v>12</v>
      </c>
      <c r="J141" t="s">
        <v>15</v>
      </c>
      <c r="K141" s="10">
        <v>839097</v>
      </c>
      <c r="L141" s="10"/>
      <c r="M141">
        <v>1</v>
      </c>
    </row>
    <row r="142" spans="1:13" x14ac:dyDescent="0.25">
      <c r="A142">
        <v>1141</v>
      </c>
      <c r="B142" t="s">
        <v>31</v>
      </c>
      <c r="C142" t="s">
        <v>25</v>
      </c>
      <c r="D142" t="s">
        <v>34</v>
      </c>
      <c r="E142" s="10">
        <v>2370261</v>
      </c>
      <c r="F142" s="12">
        <v>0.08</v>
      </c>
      <c r="G142" s="12"/>
      <c r="H142">
        <v>18</v>
      </c>
      <c r="J142" t="s">
        <v>20</v>
      </c>
      <c r="K142" s="10">
        <v>688733</v>
      </c>
      <c r="L142" s="10"/>
      <c r="M142">
        <v>6</v>
      </c>
    </row>
    <row r="143" spans="1:13" x14ac:dyDescent="0.25">
      <c r="A143">
        <v>1142</v>
      </c>
      <c r="B143" t="s">
        <v>29</v>
      </c>
      <c r="C143" t="s">
        <v>10</v>
      </c>
      <c r="D143" t="s">
        <v>28</v>
      </c>
      <c r="E143" s="10">
        <v>4220303</v>
      </c>
      <c r="F143" s="12">
        <v>7.0000000000000007E-2</v>
      </c>
      <c r="G143" s="12"/>
      <c r="H143">
        <v>7</v>
      </c>
      <c r="J143" t="s">
        <v>20</v>
      </c>
      <c r="K143" s="10">
        <v>617503</v>
      </c>
      <c r="L143" s="10"/>
      <c r="M143">
        <v>7</v>
      </c>
    </row>
    <row r="144" spans="1:13" x14ac:dyDescent="0.25">
      <c r="A144">
        <v>1143</v>
      </c>
      <c r="B144" t="s">
        <v>31</v>
      </c>
      <c r="C144" t="s">
        <v>23</v>
      </c>
      <c r="D144" t="s">
        <v>32</v>
      </c>
      <c r="E144" s="10">
        <v>4863940</v>
      </c>
      <c r="F144" s="12">
        <v>7.0000000000000007E-2</v>
      </c>
      <c r="G144" s="12"/>
      <c r="H144">
        <v>4</v>
      </c>
      <c r="J144" t="s">
        <v>15</v>
      </c>
      <c r="K144" s="10">
        <v>125655</v>
      </c>
      <c r="L144" s="10"/>
      <c r="M144">
        <v>7</v>
      </c>
    </row>
    <row r="145" spans="1:13" x14ac:dyDescent="0.25">
      <c r="A145">
        <v>1144</v>
      </c>
      <c r="B145" t="s">
        <v>9</v>
      </c>
      <c r="C145" t="s">
        <v>10</v>
      </c>
      <c r="D145" t="s">
        <v>34</v>
      </c>
      <c r="E145" s="10">
        <v>2389880</v>
      </c>
      <c r="F145" s="12">
        <v>0.18</v>
      </c>
      <c r="G145" s="12"/>
      <c r="H145">
        <v>19</v>
      </c>
      <c r="J145" t="s">
        <v>13</v>
      </c>
      <c r="K145" s="10">
        <v>534912</v>
      </c>
      <c r="L145" s="10"/>
      <c r="M145">
        <v>4</v>
      </c>
    </row>
    <row r="146" spans="1:13" x14ac:dyDescent="0.25">
      <c r="A146">
        <v>1145</v>
      </c>
      <c r="B146" t="s">
        <v>9</v>
      </c>
      <c r="C146" t="s">
        <v>17</v>
      </c>
      <c r="D146" t="s">
        <v>24</v>
      </c>
      <c r="E146" s="10">
        <v>158886</v>
      </c>
      <c r="F146" s="12">
        <v>0.08</v>
      </c>
      <c r="G146" s="12"/>
      <c r="H146">
        <v>7</v>
      </c>
      <c r="J146" t="s">
        <v>15</v>
      </c>
      <c r="K146" s="10">
        <v>955458</v>
      </c>
      <c r="L146" s="10"/>
      <c r="M146">
        <v>4</v>
      </c>
    </row>
    <row r="147" spans="1:13" x14ac:dyDescent="0.25">
      <c r="A147">
        <v>1146</v>
      </c>
      <c r="B147" t="s">
        <v>31</v>
      </c>
      <c r="C147" t="s">
        <v>25</v>
      </c>
      <c r="D147" t="s">
        <v>11</v>
      </c>
      <c r="E147" s="10">
        <v>28228326</v>
      </c>
      <c r="F147" s="12">
        <v>0.16</v>
      </c>
      <c r="G147" s="12"/>
      <c r="H147">
        <v>10</v>
      </c>
      <c r="J147" t="s">
        <v>13</v>
      </c>
      <c r="K147" s="10">
        <v>456432</v>
      </c>
      <c r="L147" s="10"/>
      <c r="M147">
        <v>13</v>
      </c>
    </row>
    <row r="148" spans="1:13" x14ac:dyDescent="0.25">
      <c r="A148">
        <v>1147</v>
      </c>
      <c r="B148" t="s">
        <v>29</v>
      </c>
      <c r="C148" t="s">
        <v>23</v>
      </c>
      <c r="D148" t="s">
        <v>34</v>
      </c>
      <c r="E148" s="10">
        <v>4291154</v>
      </c>
      <c r="F148" s="12">
        <v>0.16</v>
      </c>
      <c r="G148" s="12"/>
      <c r="H148">
        <v>18</v>
      </c>
      <c r="J148" t="s">
        <v>13</v>
      </c>
      <c r="K148" s="10">
        <v>884377</v>
      </c>
      <c r="L148" s="10"/>
      <c r="M148">
        <v>8</v>
      </c>
    </row>
    <row r="149" spans="1:13" x14ac:dyDescent="0.25">
      <c r="A149">
        <v>1148</v>
      </c>
      <c r="B149" t="s">
        <v>29</v>
      </c>
      <c r="C149" t="s">
        <v>17</v>
      </c>
      <c r="D149" t="s">
        <v>32</v>
      </c>
      <c r="E149" s="10">
        <v>4122081</v>
      </c>
      <c r="F149" s="12">
        <v>0.18</v>
      </c>
      <c r="G149" s="12"/>
      <c r="H149">
        <v>3</v>
      </c>
      <c r="J149" t="s">
        <v>15</v>
      </c>
      <c r="K149" s="10">
        <v>657790</v>
      </c>
      <c r="L149" s="10"/>
      <c r="M149">
        <v>4</v>
      </c>
    </row>
    <row r="150" spans="1:13" x14ac:dyDescent="0.25">
      <c r="A150">
        <v>1149</v>
      </c>
      <c r="B150" t="s">
        <v>22</v>
      </c>
      <c r="C150" t="s">
        <v>10</v>
      </c>
      <c r="D150" t="s">
        <v>11</v>
      </c>
      <c r="E150" s="10">
        <v>8552120</v>
      </c>
      <c r="F150" s="12">
        <v>0.05</v>
      </c>
      <c r="G150" s="12"/>
      <c r="H150">
        <v>6</v>
      </c>
      <c r="J150" t="s">
        <v>20</v>
      </c>
      <c r="K150" s="10">
        <v>165523</v>
      </c>
      <c r="L150" s="10"/>
      <c r="M150">
        <v>4</v>
      </c>
    </row>
    <row r="151" spans="1:13" x14ac:dyDescent="0.25">
      <c r="A151">
        <v>1150</v>
      </c>
      <c r="B151" t="s">
        <v>16</v>
      </c>
      <c r="C151" t="s">
        <v>25</v>
      </c>
      <c r="D151" t="s">
        <v>18</v>
      </c>
      <c r="E151" s="10">
        <v>1213202</v>
      </c>
      <c r="F151" s="12">
        <v>0.1</v>
      </c>
      <c r="G151" s="12"/>
      <c r="H151">
        <v>10</v>
      </c>
      <c r="J151" t="s">
        <v>13</v>
      </c>
      <c r="K151" s="10">
        <v>710614</v>
      </c>
      <c r="L151" s="10"/>
      <c r="M151">
        <v>13</v>
      </c>
    </row>
    <row r="152" spans="1:13" x14ac:dyDescent="0.25">
      <c r="A152">
        <v>1151</v>
      </c>
      <c r="B152" t="s">
        <v>16</v>
      </c>
      <c r="C152" t="s">
        <v>17</v>
      </c>
      <c r="D152" t="s">
        <v>14</v>
      </c>
      <c r="E152" s="10">
        <v>98856</v>
      </c>
      <c r="F152" s="12">
        <v>0.12</v>
      </c>
      <c r="G152" s="12"/>
      <c r="H152">
        <v>17</v>
      </c>
      <c r="J152" t="s">
        <v>13</v>
      </c>
      <c r="K152" s="10">
        <v>998028</v>
      </c>
      <c r="L152" s="10"/>
      <c r="M152">
        <v>10</v>
      </c>
    </row>
    <row r="153" spans="1:13" x14ac:dyDescent="0.25">
      <c r="A153">
        <v>1152</v>
      </c>
      <c r="B153" t="s">
        <v>9</v>
      </c>
      <c r="C153" t="s">
        <v>25</v>
      </c>
      <c r="D153" t="s">
        <v>33</v>
      </c>
      <c r="E153" s="10">
        <v>2383451</v>
      </c>
      <c r="F153" s="12">
        <v>0.17</v>
      </c>
      <c r="G153" s="12"/>
      <c r="H153">
        <v>15</v>
      </c>
      <c r="J153" t="s">
        <v>20</v>
      </c>
      <c r="K153" s="10">
        <v>554342</v>
      </c>
      <c r="L153" s="10"/>
      <c r="M153">
        <v>6</v>
      </c>
    </row>
    <row r="154" spans="1:13" x14ac:dyDescent="0.25">
      <c r="A154">
        <v>1153</v>
      </c>
      <c r="B154" t="s">
        <v>22</v>
      </c>
      <c r="C154" t="s">
        <v>23</v>
      </c>
      <c r="D154" t="s">
        <v>24</v>
      </c>
      <c r="E154" s="10">
        <v>341846</v>
      </c>
      <c r="F154" s="12">
        <v>0.13</v>
      </c>
      <c r="G154" s="12"/>
      <c r="H154">
        <v>3</v>
      </c>
      <c r="J154" t="s">
        <v>15</v>
      </c>
      <c r="K154" s="10">
        <v>317970</v>
      </c>
      <c r="L154" s="10"/>
      <c r="M154">
        <v>4</v>
      </c>
    </row>
    <row r="155" spans="1:13" x14ac:dyDescent="0.25">
      <c r="A155">
        <v>1154</v>
      </c>
      <c r="B155" t="s">
        <v>9</v>
      </c>
      <c r="C155" t="s">
        <v>17</v>
      </c>
      <c r="D155" t="s">
        <v>34</v>
      </c>
      <c r="E155" s="10">
        <v>3008716</v>
      </c>
      <c r="F155" s="12">
        <v>0.13</v>
      </c>
      <c r="G155" s="12"/>
      <c r="H155">
        <v>8</v>
      </c>
      <c r="J155" t="s">
        <v>20</v>
      </c>
      <c r="K155" s="10">
        <v>726286</v>
      </c>
      <c r="L155" s="10"/>
      <c r="M155">
        <v>11</v>
      </c>
    </row>
    <row r="156" spans="1:13" x14ac:dyDescent="0.25">
      <c r="A156">
        <v>1155</v>
      </c>
      <c r="B156" t="s">
        <v>9</v>
      </c>
      <c r="C156" t="s">
        <v>10</v>
      </c>
      <c r="D156" t="s">
        <v>30</v>
      </c>
      <c r="E156" s="10">
        <v>3869780</v>
      </c>
      <c r="F156" s="12">
        <v>0.17</v>
      </c>
      <c r="G156" s="12"/>
      <c r="H156">
        <v>15</v>
      </c>
      <c r="J156" t="s">
        <v>15</v>
      </c>
      <c r="K156" s="10">
        <v>527210</v>
      </c>
      <c r="L156" s="10"/>
      <c r="M156">
        <v>8</v>
      </c>
    </row>
    <row r="157" spans="1:13" x14ac:dyDescent="0.25">
      <c r="A157">
        <v>1156</v>
      </c>
      <c r="B157" t="s">
        <v>16</v>
      </c>
      <c r="C157" t="s">
        <v>10</v>
      </c>
      <c r="D157" t="s">
        <v>34</v>
      </c>
      <c r="E157" s="10">
        <v>3435850</v>
      </c>
      <c r="F157" s="12">
        <v>0.08</v>
      </c>
      <c r="G157" s="12"/>
      <c r="H157">
        <v>3</v>
      </c>
      <c r="J157" t="s">
        <v>20</v>
      </c>
      <c r="K157" s="10">
        <v>832073</v>
      </c>
      <c r="L157" s="10"/>
      <c r="M157">
        <v>5</v>
      </c>
    </row>
    <row r="158" spans="1:13" x14ac:dyDescent="0.25">
      <c r="A158">
        <v>1157</v>
      </c>
      <c r="B158" t="s">
        <v>16</v>
      </c>
      <c r="C158" t="s">
        <v>17</v>
      </c>
      <c r="D158" t="s">
        <v>28</v>
      </c>
      <c r="E158" s="10">
        <v>1652192</v>
      </c>
      <c r="F158" s="12">
        <v>0.13</v>
      </c>
      <c r="G158" s="12"/>
      <c r="H158">
        <v>11</v>
      </c>
      <c r="J158" t="s">
        <v>15</v>
      </c>
      <c r="K158" s="10">
        <v>396318</v>
      </c>
      <c r="L158" s="10"/>
      <c r="M158">
        <v>11</v>
      </c>
    </row>
    <row r="159" spans="1:13" x14ac:dyDescent="0.25">
      <c r="A159">
        <v>1158</v>
      </c>
      <c r="B159" t="s">
        <v>29</v>
      </c>
      <c r="C159" t="s">
        <v>10</v>
      </c>
      <c r="D159" t="s">
        <v>28</v>
      </c>
      <c r="E159" s="10">
        <v>2038642</v>
      </c>
      <c r="F159" s="12">
        <v>0.05</v>
      </c>
      <c r="G159" s="12"/>
      <c r="H159">
        <v>6</v>
      </c>
      <c r="J159" t="s">
        <v>20</v>
      </c>
      <c r="K159" s="10">
        <v>287830</v>
      </c>
      <c r="L159" s="10"/>
      <c r="M159">
        <v>11</v>
      </c>
    </row>
    <row r="160" spans="1:13" x14ac:dyDescent="0.25">
      <c r="A160">
        <v>1159</v>
      </c>
      <c r="B160" t="s">
        <v>29</v>
      </c>
      <c r="C160" t="s">
        <v>10</v>
      </c>
      <c r="D160" t="s">
        <v>14</v>
      </c>
      <c r="E160" s="10">
        <v>245352</v>
      </c>
      <c r="F160" s="12">
        <v>0.15</v>
      </c>
      <c r="G160" s="12"/>
      <c r="H160">
        <v>3</v>
      </c>
      <c r="J160" t="s">
        <v>20</v>
      </c>
      <c r="K160" s="10">
        <v>204562</v>
      </c>
      <c r="L160" s="10"/>
      <c r="M160">
        <v>1</v>
      </c>
    </row>
    <row r="161" spans="1:13" x14ac:dyDescent="0.25">
      <c r="A161">
        <v>1160</v>
      </c>
      <c r="B161" t="s">
        <v>9</v>
      </c>
      <c r="C161" t="s">
        <v>10</v>
      </c>
      <c r="D161" t="s">
        <v>14</v>
      </c>
      <c r="E161" s="10">
        <v>301199</v>
      </c>
      <c r="F161" s="12">
        <v>0.16</v>
      </c>
      <c r="G161" s="12"/>
      <c r="H161">
        <v>12</v>
      </c>
      <c r="J161" t="s">
        <v>13</v>
      </c>
      <c r="K161" s="10">
        <v>784810</v>
      </c>
      <c r="L161" s="10"/>
      <c r="M161">
        <v>13</v>
      </c>
    </row>
    <row r="162" spans="1:13" x14ac:dyDescent="0.25">
      <c r="A162">
        <v>1161</v>
      </c>
      <c r="B162" t="s">
        <v>29</v>
      </c>
      <c r="C162" t="s">
        <v>25</v>
      </c>
      <c r="D162" t="s">
        <v>26</v>
      </c>
      <c r="E162" s="10">
        <v>18682060</v>
      </c>
      <c r="F162" s="12">
        <v>0.06</v>
      </c>
      <c r="G162" s="12"/>
      <c r="H162">
        <v>1</v>
      </c>
      <c r="J162" t="s">
        <v>13</v>
      </c>
      <c r="K162" s="10">
        <v>221820</v>
      </c>
      <c r="L162" s="10"/>
      <c r="M162">
        <v>1</v>
      </c>
    </row>
    <row r="163" spans="1:13" x14ac:dyDescent="0.25">
      <c r="A163">
        <v>1162</v>
      </c>
      <c r="B163" t="s">
        <v>9</v>
      </c>
      <c r="C163" t="s">
        <v>25</v>
      </c>
      <c r="D163" t="s">
        <v>30</v>
      </c>
      <c r="E163" s="10">
        <v>4069280</v>
      </c>
      <c r="F163" s="12">
        <v>0.13</v>
      </c>
      <c r="G163" s="12"/>
      <c r="H163">
        <v>1</v>
      </c>
      <c r="J163" t="s">
        <v>13</v>
      </c>
      <c r="K163" s="10">
        <v>842730</v>
      </c>
      <c r="L163" s="10"/>
      <c r="M163">
        <v>14</v>
      </c>
    </row>
    <row r="164" spans="1:13" x14ac:dyDescent="0.25">
      <c r="A164">
        <v>1163</v>
      </c>
      <c r="B164" t="s">
        <v>31</v>
      </c>
      <c r="C164" t="s">
        <v>17</v>
      </c>
      <c r="D164" t="s">
        <v>11</v>
      </c>
      <c r="E164" s="10">
        <v>30449639</v>
      </c>
      <c r="F164" s="12">
        <v>0.18</v>
      </c>
      <c r="G164" s="12"/>
      <c r="H164">
        <v>20</v>
      </c>
      <c r="J164" t="s">
        <v>15</v>
      </c>
      <c r="K164" s="10">
        <v>912510</v>
      </c>
      <c r="L164" s="10"/>
      <c r="M164">
        <v>8</v>
      </c>
    </row>
    <row r="165" spans="1:13" x14ac:dyDescent="0.25">
      <c r="A165">
        <v>1164</v>
      </c>
      <c r="B165" t="s">
        <v>29</v>
      </c>
      <c r="C165" t="s">
        <v>25</v>
      </c>
      <c r="D165" t="s">
        <v>26</v>
      </c>
      <c r="E165" s="10">
        <v>3340575</v>
      </c>
      <c r="F165" s="12">
        <v>0.14000000000000001</v>
      </c>
      <c r="G165" s="12"/>
      <c r="H165">
        <v>10</v>
      </c>
      <c r="J165" t="s">
        <v>20</v>
      </c>
      <c r="K165" s="10">
        <v>694964</v>
      </c>
      <c r="L165" s="10"/>
      <c r="M165">
        <v>8</v>
      </c>
    </row>
    <row r="166" spans="1:13" x14ac:dyDescent="0.25">
      <c r="A166">
        <v>1165</v>
      </c>
      <c r="B166" t="s">
        <v>22</v>
      </c>
      <c r="C166" t="s">
        <v>23</v>
      </c>
      <c r="D166" t="s">
        <v>24</v>
      </c>
      <c r="E166" s="10">
        <v>334968</v>
      </c>
      <c r="F166" s="12">
        <v>0.08</v>
      </c>
      <c r="G166" s="12"/>
      <c r="H166">
        <v>17</v>
      </c>
      <c r="J166" t="s">
        <v>20</v>
      </c>
      <c r="K166" s="10">
        <v>993225</v>
      </c>
      <c r="L166" s="10"/>
      <c r="M166">
        <v>11</v>
      </c>
    </row>
    <row r="167" spans="1:13" x14ac:dyDescent="0.25">
      <c r="A167">
        <v>1166</v>
      </c>
      <c r="B167" t="s">
        <v>16</v>
      </c>
      <c r="C167" t="s">
        <v>10</v>
      </c>
      <c r="D167" t="s">
        <v>14</v>
      </c>
      <c r="E167" s="10">
        <v>283456</v>
      </c>
      <c r="F167" s="12">
        <v>0.15</v>
      </c>
      <c r="G167" s="12"/>
      <c r="H167">
        <v>7</v>
      </c>
      <c r="J167" t="s">
        <v>13</v>
      </c>
      <c r="K167" s="10">
        <v>601490</v>
      </c>
      <c r="L167" s="10"/>
      <c r="M167">
        <v>5</v>
      </c>
    </row>
    <row r="168" spans="1:13" x14ac:dyDescent="0.25">
      <c r="A168">
        <v>1167</v>
      </c>
      <c r="B168" t="s">
        <v>31</v>
      </c>
      <c r="C168" t="s">
        <v>23</v>
      </c>
      <c r="D168" t="s">
        <v>34</v>
      </c>
      <c r="E168" s="10">
        <v>3635736</v>
      </c>
      <c r="F168" s="12">
        <v>0.05</v>
      </c>
      <c r="G168" s="12"/>
      <c r="H168">
        <v>2</v>
      </c>
      <c r="J168" t="s">
        <v>20</v>
      </c>
      <c r="K168" s="10">
        <v>459789</v>
      </c>
      <c r="L168" s="10"/>
      <c r="M168">
        <v>9</v>
      </c>
    </row>
    <row r="169" spans="1:13" x14ac:dyDescent="0.25">
      <c r="A169">
        <v>1168</v>
      </c>
      <c r="B169" t="s">
        <v>29</v>
      </c>
      <c r="C169" t="s">
        <v>23</v>
      </c>
      <c r="D169" t="s">
        <v>26</v>
      </c>
      <c r="E169" s="10">
        <v>9855620</v>
      </c>
      <c r="F169" s="12">
        <v>0.14000000000000001</v>
      </c>
      <c r="G169" s="12"/>
      <c r="H169">
        <v>10</v>
      </c>
      <c r="J169" t="s">
        <v>13</v>
      </c>
      <c r="K169" s="10">
        <v>612226</v>
      </c>
      <c r="L169" s="10"/>
      <c r="M169">
        <v>1</v>
      </c>
    </row>
    <row r="170" spans="1:13" x14ac:dyDescent="0.25">
      <c r="A170">
        <v>1169</v>
      </c>
      <c r="B170" t="s">
        <v>9</v>
      </c>
      <c r="C170" t="s">
        <v>17</v>
      </c>
      <c r="D170" t="s">
        <v>33</v>
      </c>
      <c r="E170" s="10">
        <v>4694008</v>
      </c>
      <c r="F170" s="12">
        <v>0.11</v>
      </c>
      <c r="G170" s="12"/>
      <c r="H170">
        <v>1</v>
      </c>
      <c r="J170" t="s">
        <v>20</v>
      </c>
      <c r="K170" s="10">
        <v>640668</v>
      </c>
      <c r="L170" s="10"/>
      <c r="M170">
        <v>12</v>
      </c>
    </row>
    <row r="171" spans="1:13" x14ac:dyDescent="0.25">
      <c r="A171">
        <v>1170</v>
      </c>
      <c r="B171" t="s">
        <v>31</v>
      </c>
      <c r="C171" t="s">
        <v>25</v>
      </c>
      <c r="D171" t="s">
        <v>11</v>
      </c>
      <c r="E171" s="10">
        <v>18045290</v>
      </c>
      <c r="F171" s="12">
        <v>0.15</v>
      </c>
      <c r="G171" s="12"/>
      <c r="H171">
        <v>16</v>
      </c>
      <c r="J171" t="s">
        <v>20</v>
      </c>
      <c r="K171" s="10">
        <v>719094</v>
      </c>
      <c r="L171" s="10"/>
      <c r="M171">
        <v>14</v>
      </c>
    </row>
    <row r="172" spans="1:13" x14ac:dyDescent="0.25">
      <c r="A172">
        <v>1171</v>
      </c>
      <c r="B172" t="s">
        <v>22</v>
      </c>
      <c r="C172" t="s">
        <v>23</v>
      </c>
      <c r="D172" t="s">
        <v>24</v>
      </c>
      <c r="E172" s="10">
        <v>905350</v>
      </c>
      <c r="F172" s="12">
        <v>0.17</v>
      </c>
      <c r="G172" s="12"/>
      <c r="H172">
        <v>13</v>
      </c>
      <c r="J172" t="s">
        <v>20</v>
      </c>
      <c r="K172" s="10">
        <v>481269</v>
      </c>
      <c r="L172" s="10"/>
      <c r="M172">
        <v>12</v>
      </c>
    </row>
    <row r="173" spans="1:13" x14ac:dyDescent="0.25">
      <c r="A173">
        <v>1172</v>
      </c>
      <c r="B173" t="s">
        <v>22</v>
      </c>
      <c r="C173" t="s">
        <v>23</v>
      </c>
      <c r="D173" t="s">
        <v>34</v>
      </c>
      <c r="E173" s="10">
        <v>2363111</v>
      </c>
      <c r="F173" s="12">
        <v>0.15</v>
      </c>
      <c r="G173" s="12"/>
      <c r="H173">
        <v>8</v>
      </c>
      <c r="J173" t="s">
        <v>15</v>
      </c>
      <c r="K173" s="10">
        <v>413875</v>
      </c>
      <c r="L173" s="10"/>
      <c r="M173">
        <v>2</v>
      </c>
    </row>
    <row r="174" spans="1:13" x14ac:dyDescent="0.25">
      <c r="A174">
        <v>1173</v>
      </c>
      <c r="B174" t="s">
        <v>16</v>
      </c>
      <c r="C174" t="s">
        <v>17</v>
      </c>
      <c r="D174" t="s">
        <v>34</v>
      </c>
      <c r="E174" s="10">
        <v>3829415</v>
      </c>
      <c r="F174" s="12">
        <v>0.08</v>
      </c>
      <c r="G174" s="12"/>
      <c r="H174">
        <v>20</v>
      </c>
      <c r="J174" t="s">
        <v>15</v>
      </c>
      <c r="K174" s="10">
        <v>171211</v>
      </c>
      <c r="L174" s="10"/>
      <c r="M174">
        <v>9</v>
      </c>
    </row>
    <row r="175" spans="1:13" x14ac:dyDescent="0.25">
      <c r="A175">
        <v>1174</v>
      </c>
      <c r="B175" t="s">
        <v>22</v>
      </c>
      <c r="C175" t="s">
        <v>17</v>
      </c>
      <c r="D175" t="s">
        <v>26</v>
      </c>
      <c r="E175" s="10">
        <v>2657911</v>
      </c>
      <c r="F175" s="12">
        <v>0.11</v>
      </c>
      <c r="G175" s="12"/>
      <c r="H175">
        <v>10</v>
      </c>
      <c r="J175" t="s">
        <v>20</v>
      </c>
      <c r="K175" s="10">
        <v>724706</v>
      </c>
      <c r="L175" s="10"/>
      <c r="M175">
        <v>1</v>
      </c>
    </row>
    <row r="176" spans="1:13" x14ac:dyDescent="0.25">
      <c r="A176">
        <v>1175</v>
      </c>
      <c r="B176" t="s">
        <v>9</v>
      </c>
      <c r="C176" t="s">
        <v>25</v>
      </c>
      <c r="D176" t="s">
        <v>14</v>
      </c>
      <c r="E176" s="10">
        <v>498172</v>
      </c>
      <c r="F176" s="12">
        <v>0.15</v>
      </c>
      <c r="G176" s="12"/>
      <c r="H176">
        <v>20</v>
      </c>
      <c r="J176" t="s">
        <v>20</v>
      </c>
      <c r="K176" s="10">
        <v>954448</v>
      </c>
      <c r="L176" s="10"/>
      <c r="M176">
        <v>14</v>
      </c>
    </row>
    <row r="177" spans="1:13" x14ac:dyDescent="0.25">
      <c r="A177">
        <v>1176</v>
      </c>
      <c r="B177" t="s">
        <v>9</v>
      </c>
      <c r="C177" t="s">
        <v>25</v>
      </c>
      <c r="D177" t="s">
        <v>34</v>
      </c>
      <c r="E177" s="10">
        <v>4210190</v>
      </c>
      <c r="F177" s="12">
        <v>0.15</v>
      </c>
      <c r="G177" s="12"/>
      <c r="H177">
        <v>1</v>
      </c>
      <c r="J177" t="s">
        <v>15</v>
      </c>
      <c r="K177" s="10">
        <v>790126</v>
      </c>
      <c r="L177" s="10"/>
      <c r="M177">
        <v>10</v>
      </c>
    </row>
    <row r="178" spans="1:13" x14ac:dyDescent="0.25">
      <c r="A178">
        <v>1177</v>
      </c>
      <c r="B178" t="s">
        <v>16</v>
      </c>
      <c r="C178" t="s">
        <v>23</v>
      </c>
      <c r="D178" t="s">
        <v>26</v>
      </c>
      <c r="E178" s="10">
        <v>3294142</v>
      </c>
      <c r="F178" s="12">
        <v>7.0000000000000007E-2</v>
      </c>
      <c r="G178" s="12"/>
      <c r="H178">
        <v>19</v>
      </c>
      <c r="J178" t="s">
        <v>13</v>
      </c>
      <c r="K178" s="10">
        <v>382820</v>
      </c>
      <c r="L178" s="10"/>
      <c r="M178">
        <v>1</v>
      </c>
    </row>
    <row r="179" spans="1:13" x14ac:dyDescent="0.25">
      <c r="A179">
        <v>1178</v>
      </c>
      <c r="B179" t="s">
        <v>29</v>
      </c>
      <c r="C179" t="s">
        <v>17</v>
      </c>
      <c r="D179" t="s">
        <v>32</v>
      </c>
      <c r="E179" s="10">
        <v>18093239</v>
      </c>
      <c r="F179" s="12">
        <v>7.0000000000000007E-2</v>
      </c>
      <c r="G179" s="12"/>
      <c r="H179">
        <v>5</v>
      </c>
      <c r="J179" t="s">
        <v>15</v>
      </c>
      <c r="K179" s="10">
        <v>417720</v>
      </c>
      <c r="L179" s="10"/>
      <c r="M179">
        <v>3</v>
      </c>
    </row>
    <row r="180" spans="1:13" x14ac:dyDescent="0.25">
      <c r="A180">
        <v>1179</v>
      </c>
      <c r="B180" t="s">
        <v>9</v>
      </c>
      <c r="C180" t="s">
        <v>25</v>
      </c>
      <c r="D180" t="s">
        <v>34</v>
      </c>
      <c r="E180" s="10">
        <v>2298756</v>
      </c>
      <c r="F180" s="12">
        <v>0.17</v>
      </c>
      <c r="G180" s="12"/>
      <c r="H180">
        <v>14</v>
      </c>
      <c r="J180" t="s">
        <v>20</v>
      </c>
      <c r="K180" s="10">
        <v>566729</v>
      </c>
      <c r="L180" s="10"/>
      <c r="M180">
        <v>1</v>
      </c>
    </row>
    <row r="181" spans="1:13" x14ac:dyDescent="0.25">
      <c r="A181">
        <v>1180</v>
      </c>
      <c r="B181" t="s">
        <v>16</v>
      </c>
      <c r="C181" t="s">
        <v>10</v>
      </c>
      <c r="D181" t="s">
        <v>33</v>
      </c>
      <c r="E181" s="10">
        <v>1968654</v>
      </c>
      <c r="F181" s="12">
        <v>0.15</v>
      </c>
      <c r="G181" s="12"/>
      <c r="H181">
        <v>15</v>
      </c>
      <c r="J181" t="s">
        <v>15</v>
      </c>
      <c r="K181" s="10">
        <v>230386</v>
      </c>
      <c r="L181" s="10"/>
      <c r="M181">
        <v>11</v>
      </c>
    </row>
    <row r="182" spans="1:13" x14ac:dyDescent="0.25">
      <c r="A182">
        <v>1181</v>
      </c>
      <c r="B182" t="s">
        <v>31</v>
      </c>
      <c r="C182" t="s">
        <v>10</v>
      </c>
      <c r="D182" t="s">
        <v>32</v>
      </c>
      <c r="E182" s="10">
        <v>36745250</v>
      </c>
      <c r="F182" s="12">
        <v>0.1</v>
      </c>
      <c r="G182" s="12"/>
      <c r="H182">
        <v>8</v>
      </c>
      <c r="J182" t="s">
        <v>13</v>
      </c>
      <c r="K182" s="10">
        <v>867711</v>
      </c>
      <c r="L182" s="10"/>
      <c r="M182">
        <v>9</v>
      </c>
    </row>
    <row r="183" spans="1:13" x14ac:dyDescent="0.25">
      <c r="A183">
        <v>1182</v>
      </c>
      <c r="B183" t="s">
        <v>22</v>
      </c>
      <c r="C183" t="s">
        <v>23</v>
      </c>
      <c r="D183" t="s">
        <v>34</v>
      </c>
      <c r="E183" s="10">
        <v>4183966</v>
      </c>
      <c r="F183" s="12">
        <v>0.17</v>
      </c>
      <c r="G183" s="12"/>
      <c r="H183">
        <v>13</v>
      </c>
      <c r="J183" t="s">
        <v>13</v>
      </c>
      <c r="K183" s="10">
        <v>961921</v>
      </c>
      <c r="L183" s="10"/>
      <c r="M183">
        <v>9</v>
      </c>
    </row>
    <row r="184" spans="1:13" x14ac:dyDescent="0.25">
      <c r="A184">
        <v>1183</v>
      </c>
      <c r="B184" t="s">
        <v>31</v>
      </c>
      <c r="C184" t="s">
        <v>23</v>
      </c>
      <c r="D184" t="s">
        <v>24</v>
      </c>
      <c r="E184" s="10">
        <v>222150</v>
      </c>
      <c r="F184" s="12">
        <v>0.14000000000000001</v>
      </c>
      <c r="G184" s="12"/>
      <c r="H184">
        <v>8</v>
      </c>
      <c r="J184" t="s">
        <v>13</v>
      </c>
      <c r="K184" s="10">
        <v>979654</v>
      </c>
      <c r="L184" s="10"/>
      <c r="M184">
        <v>5</v>
      </c>
    </row>
    <row r="185" spans="1:13" x14ac:dyDescent="0.25">
      <c r="A185">
        <v>1184</v>
      </c>
      <c r="B185" t="s">
        <v>22</v>
      </c>
      <c r="C185" t="s">
        <v>10</v>
      </c>
      <c r="D185" t="s">
        <v>33</v>
      </c>
      <c r="E185" s="10">
        <v>5300458</v>
      </c>
      <c r="F185" s="12">
        <v>0.18</v>
      </c>
      <c r="G185" s="12"/>
      <c r="H185">
        <v>20</v>
      </c>
      <c r="J185" t="s">
        <v>13</v>
      </c>
      <c r="K185" s="10">
        <v>324981</v>
      </c>
      <c r="L185" s="10"/>
      <c r="M185">
        <v>12</v>
      </c>
    </row>
    <row r="186" spans="1:13" x14ac:dyDescent="0.25">
      <c r="A186">
        <v>1185</v>
      </c>
      <c r="B186" t="s">
        <v>9</v>
      </c>
      <c r="C186" t="s">
        <v>17</v>
      </c>
      <c r="D186" t="s">
        <v>18</v>
      </c>
      <c r="E186" s="10">
        <v>2454241</v>
      </c>
      <c r="F186" s="12">
        <v>0.2</v>
      </c>
      <c r="G186" s="12"/>
      <c r="H186">
        <v>4</v>
      </c>
      <c r="J186" t="s">
        <v>13</v>
      </c>
      <c r="K186" s="10">
        <v>364637</v>
      </c>
      <c r="L186" s="10"/>
      <c r="M186">
        <v>4</v>
      </c>
    </row>
    <row r="187" spans="1:13" x14ac:dyDescent="0.25">
      <c r="A187">
        <v>1186</v>
      </c>
      <c r="B187" t="s">
        <v>16</v>
      </c>
      <c r="C187" t="s">
        <v>23</v>
      </c>
      <c r="D187" t="s">
        <v>32</v>
      </c>
      <c r="E187" s="10">
        <v>42573475</v>
      </c>
      <c r="F187" s="12">
        <v>0.1</v>
      </c>
      <c r="G187" s="12"/>
      <c r="H187">
        <v>3</v>
      </c>
      <c r="J187" t="s">
        <v>13</v>
      </c>
      <c r="K187" s="10">
        <v>939458</v>
      </c>
      <c r="L187" s="10"/>
      <c r="M187">
        <v>5</v>
      </c>
    </row>
    <row r="188" spans="1:13" x14ac:dyDescent="0.25">
      <c r="A188">
        <v>1187</v>
      </c>
      <c r="B188" t="s">
        <v>16</v>
      </c>
      <c r="C188" t="s">
        <v>17</v>
      </c>
      <c r="D188" t="s">
        <v>24</v>
      </c>
      <c r="E188" s="10">
        <v>404842</v>
      </c>
      <c r="F188" s="12">
        <v>7.0000000000000007E-2</v>
      </c>
      <c r="G188" s="12"/>
      <c r="H188">
        <v>17</v>
      </c>
      <c r="J188" t="s">
        <v>15</v>
      </c>
      <c r="K188" s="10">
        <v>849799</v>
      </c>
      <c r="L188" s="10"/>
      <c r="M188">
        <v>7</v>
      </c>
    </row>
    <row r="189" spans="1:13" x14ac:dyDescent="0.25">
      <c r="A189">
        <v>1188</v>
      </c>
      <c r="B189" t="s">
        <v>9</v>
      </c>
      <c r="C189" t="s">
        <v>25</v>
      </c>
      <c r="D189" t="s">
        <v>14</v>
      </c>
      <c r="E189" s="10">
        <v>267691</v>
      </c>
      <c r="F189" s="12">
        <v>0.1</v>
      </c>
      <c r="G189" s="12"/>
      <c r="H189">
        <v>20</v>
      </c>
      <c r="J189" t="s">
        <v>20</v>
      </c>
      <c r="K189" s="10">
        <v>716267</v>
      </c>
      <c r="L189" s="10"/>
      <c r="M189">
        <v>13</v>
      </c>
    </row>
    <row r="190" spans="1:13" x14ac:dyDescent="0.25">
      <c r="A190">
        <v>1189</v>
      </c>
      <c r="B190" t="s">
        <v>22</v>
      </c>
      <c r="C190" t="s">
        <v>25</v>
      </c>
      <c r="D190" t="s">
        <v>28</v>
      </c>
      <c r="E190" s="10">
        <v>4661117</v>
      </c>
      <c r="F190" s="12">
        <v>0.12</v>
      </c>
      <c r="G190" s="12"/>
      <c r="H190">
        <v>13</v>
      </c>
      <c r="J190" t="s">
        <v>15</v>
      </c>
      <c r="K190" s="10">
        <v>306932</v>
      </c>
      <c r="L190" s="10"/>
      <c r="M190">
        <v>14</v>
      </c>
    </row>
    <row r="191" spans="1:13" x14ac:dyDescent="0.25">
      <c r="A191">
        <v>1190</v>
      </c>
      <c r="B191" t="s">
        <v>22</v>
      </c>
      <c r="C191" t="s">
        <v>17</v>
      </c>
      <c r="D191" t="s">
        <v>18</v>
      </c>
      <c r="E191" s="10">
        <v>1063778</v>
      </c>
      <c r="F191" s="12">
        <v>0.1</v>
      </c>
      <c r="G191" s="12"/>
      <c r="H191">
        <v>8</v>
      </c>
      <c r="J191" t="s">
        <v>20</v>
      </c>
      <c r="K191" s="10">
        <v>592390</v>
      </c>
      <c r="L191" s="10"/>
      <c r="M191">
        <v>13</v>
      </c>
    </row>
    <row r="192" spans="1:13" x14ac:dyDescent="0.25">
      <c r="A192">
        <v>1191</v>
      </c>
      <c r="B192" t="s">
        <v>22</v>
      </c>
      <c r="C192" t="s">
        <v>25</v>
      </c>
      <c r="D192" t="s">
        <v>14</v>
      </c>
      <c r="E192" s="10">
        <v>340155</v>
      </c>
      <c r="F192" s="12">
        <v>0.17</v>
      </c>
      <c r="G192" s="12"/>
      <c r="H192">
        <v>4</v>
      </c>
      <c r="J192" t="s">
        <v>15</v>
      </c>
      <c r="K192" s="10">
        <v>418299</v>
      </c>
      <c r="L192" s="10"/>
      <c r="M192">
        <v>3</v>
      </c>
    </row>
    <row r="193" spans="1:13" x14ac:dyDescent="0.25">
      <c r="A193">
        <v>1192</v>
      </c>
      <c r="B193" t="s">
        <v>9</v>
      </c>
      <c r="C193" t="s">
        <v>10</v>
      </c>
      <c r="D193" t="s">
        <v>32</v>
      </c>
      <c r="E193" s="10">
        <v>12175993</v>
      </c>
      <c r="F193" s="12">
        <v>0.12</v>
      </c>
      <c r="G193" s="12"/>
      <c r="H193">
        <v>14</v>
      </c>
      <c r="J193" t="s">
        <v>20</v>
      </c>
      <c r="K193" s="10">
        <v>264305</v>
      </c>
      <c r="L193" s="10"/>
      <c r="M193">
        <v>2</v>
      </c>
    </row>
    <row r="194" spans="1:13" x14ac:dyDescent="0.25">
      <c r="A194">
        <v>1193</v>
      </c>
      <c r="B194" t="s">
        <v>29</v>
      </c>
      <c r="C194" t="s">
        <v>25</v>
      </c>
      <c r="D194" t="s">
        <v>34</v>
      </c>
      <c r="E194" s="10">
        <v>1924931</v>
      </c>
      <c r="F194" s="12">
        <v>0.08</v>
      </c>
      <c r="G194" s="12"/>
      <c r="H194">
        <v>5</v>
      </c>
      <c r="J194" t="s">
        <v>20</v>
      </c>
      <c r="K194" s="10">
        <v>311488</v>
      </c>
      <c r="L194" s="10"/>
      <c r="M194">
        <v>6</v>
      </c>
    </row>
    <row r="195" spans="1:13" x14ac:dyDescent="0.25">
      <c r="A195">
        <v>1194</v>
      </c>
      <c r="B195" t="s">
        <v>9</v>
      </c>
      <c r="C195" t="s">
        <v>25</v>
      </c>
      <c r="D195" t="s">
        <v>11</v>
      </c>
      <c r="E195" s="10">
        <v>25296577</v>
      </c>
      <c r="F195" s="12">
        <v>0.09</v>
      </c>
      <c r="G195" s="12"/>
      <c r="H195">
        <v>2</v>
      </c>
      <c r="J195" t="s">
        <v>15</v>
      </c>
      <c r="K195" s="10">
        <v>566546</v>
      </c>
      <c r="L195" s="10"/>
      <c r="M195">
        <v>10</v>
      </c>
    </row>
    <row r="196" spans="1:13" x14ac:dyDescent="0.25">
      <c r="A196">
        <v>1195</v>
      </c>
      <c r="B196" t="s">
        <v>16</v>
      </c>
      <c r="C196" t="s">
        <v>23</v>
      </c>
      <c r="D196" t="s">
        <v>32</v>
      </c>
      <c r="E196" s="10">
        <v>4265273</v>
      </c>
      <c r="F196" s="12">
        <v>0.12</v>
      </c>
      <c r="G196" s="12"/>
      <c r="H196">
        <v>20</v>
      </c>
      <c r="J196" t="s">
        <v>15</v>
      </c>
      <c r="K196" s="10">
        <v>574264</v>
      </c>
      <c r="L196" s="10"/>
      <c r="M196">
        <v>1</v>
      </c>
    </row>
    <row r="197" spans="1:13" x14ac:dyDescent="0.25">
      <c r="A197">
        <v>1196</v>
      </c>
      <c r="B197" t="s">
        <v>22</v>
      </c>
      <c r="C197" t="s">
        <v>17</v>
      </c>
      <c r="D197" t="s">
        <v>28</v>
      </c>
      <c r="E197" s="10">
        <v>10035567</v>
      </c>
      <c r="F197" s="12">
        <v>0.16</v>
      </c>
      <c r="G197" s="12"/>
      <c r="H197">
        <v>16</v>
      </c>
      <c r="J197" t="s">
        <v>15</v>
      </c>
      <c r="K197" s="10">
        <v>275060</v>
      </c>
      <c r="L197" s="10"/>
      <c r="M197">
        <v>13</v>
      </c>
    </row>
    <row r="198" spans="1:13" x14ac:dyDescent="0.25">
      <c r="A198">
        <v>1197</v>
      </c>
      <c r="B198" t="s">
        <v>31</v>
      </c>
      <c r="C198" t="s">
        <v>17</v>
      </c>
      <c r="D198" t="s">
        <v>33</v>
      </c>
      <c r="E198" s="10">
        <v>2495473</v>
      </c>
      <c r="F198" s="12">
        <v>7.0000000000000007E-2</v>
      </c>
      <c r="G198" s="12"/>
      <c r="H198">
        <v>13</v>
      </c>
      <c r="J198" t="s">
        <v>13</v>
      </c>
      <c r="K198" s="10">
        <v>992542</v>
      </c>
      <c r="L198" s="10"/>
      <c r="M198">
        <v>10</v>
      </c>
    </row>
    <row r="199" spans="1:13" x14ac:dyDescent="0.25">
      <c r="A199">
        <v>1198</v>
      </c>
      <c r="B199" t="s">
        <v>16</v>
      </c>
      <c r="C199" t="s">
        <v>25</v>
      </c>
      <c r="D199" t="s">
        <v>26</v>
      </c>
      <c r="E199" s="10">
        <v>20824499</v>
      </c>
      <c r="F199" s="12">
        <v>7.0000000000000007E-2</v>
      </c>
      <c r="G199" s="12"/>
      <c r="H199">
        <v>3</v>
      </c>
      <c r="J199" t="s">
        <v>15</v>
      </c>
      <c r="K199" s="10">
        <v>119223</v>
      </c>
      <c r="L199" s="10"/>
      <c r="M199">
        <v>4</v>
      </c>
    </row>
    <row r="200" spans="1:13" x14ac:dyDescent="0.25">
      <c r="A200">
        <v>1199</v>
      </c>
      <c r="B200" t="s">
        <v>22</v>
      </c>
      <c r="C200" t="s">
        <v>23</v>
      </c>
      <c r="D200" t="s">
        <v>11</v>
      </c>
      <c r="E200" s="10">
        <v>27564811</v>
      </c>
      <c r="F200" s="12">
        <v>0.18</v>
      </c>
      <c r="G200" s="12"/>
      <c r="H200">
        <v>5</v>
      </c>
      <c r="J200" t="s">
        <v>20</v>
      </c>
      <c r="K200" s="10">
        <v>103657</v>
      </c>
      <c r="L200" s="10"/>
      <c r="M200">
        <v>6</v>
      </c>
    </row>
    <row r="201" spans="1:13" x14ac:dyDescent="0.25">
      <c r="A201">
        <v>1200</v>
      </c>
      <c r="B201" t="s">
        <v>9</v>
      </c>
      <c r="C201" t="s">
        <v>10</v>
      </c>
      <c r="D201" t="s">
        <v>18</v>
      </c>
      <c r="E201" s="10">
        <v>7520281</v>
      </c>
      <c r="F201" s="12">
        <v>0.06</v>
      </c>
      <c r="G201" s="12"/>
      <c r="H201">
        <v>3</v>
      </c>
      <c r="J201" t="s">
        <v>15</v>
      </c>
      <c r="K201" s="10">
        <v>458599</v>
      </c>
      <c r="L201" s="10"/>
      <c r="M2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Logical,CondAggFunction</vt:lpstr>
      <vt:lpstr>Lookup</vt:lpstr>
      <vt:lpstr>LookupTable</vt:lpstr>
      <vt:lpstr>Cleaning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2025-01-31T22:44:37Z</dcterms:created>
  <dcterms:modified xsi:type="dcterms:W3CDTF">2025-10-04T16:10:39Z</dcterms:modified>
</cp:coreProperties>
</file>