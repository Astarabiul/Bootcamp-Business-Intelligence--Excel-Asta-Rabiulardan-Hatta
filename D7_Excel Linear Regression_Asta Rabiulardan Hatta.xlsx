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r Player Data" sheetId="1" r:id="rId4"/>
  </sheets>
  <definedNames/>
  <calcPr/>
</workbook>
</file>

<file path=xl/sharedStrings.xml><?xml version="1.0" encoding="utf-8"?>
<sst xmlns="http://schemas.openxmlformats.org/spreadsheetml/2006/main" count="134" uniqueCount="109">
  <si>
    <t>appearance</t>
  </si>
  <si>
    <t>goal_scored</t>
  </si>
  <si>
    <t>assist</t>
  </si>
  <si>
    <t>salary</t>
  </si>
  <si>
    <t>Membuat Model Regresi</t>
  </si>
  <si>
    <t>slope (b1)</t>
  </si>
  <si>
    <t>intercept (b0)</t>
  </si>
  <si>
    <t>Step 2</t>
  </si>
  <si>
    <t>Salary Predicted</t>
  </si>
  <si>
    <t>Residual/Error</t>
  </si>
  <si>
    <t>Absolut Residual</t>
  </si>
  <si>
    <t>Error Ratio</t>
  </si>
  <si>
    <t>Residual^2</t>
  </si>
  <si>
    <t>Lakukan Uji Asumsi</t>
  </si>
  <si>
    <r>
      <rPr>
        <rFont val="Arial"/>
        <color theme="1"/>
      </rPr>
      <t xml:space="preserve">Berdasarkan hasil korelasi dari 3 variabel X terhadap variabel Y, diketahui bahwa </t>
    </r>
    <r>
      <rPr>
        <rFont val="Arial"/>
        <b/>
        <color rgb="FF00FF00"/>
      </rPr>
      <t>variabel Goal Scored memiliki korelasi paling besar terhadap salary</t>
    </r>
    <r>
      <rPr>
        <rFont val="Arial"/>
        <color theme="1"/>
      </rPr>
      <t>, maka itu yang akan kita gunakan untuk olah data selanjutnya</t>
    </r>
  </si>
  <si>
    <t>coefficient</t>
  </si>
  <si>
    <t>asumsi 1</t>
  </si>
  <si>
    <t>apakah terdapat korelasi?</t>
  </si>
  <si>
    <t>Evaluasi Model Menggunakan RMSE dan MAPE</t>
  </si>
  <si>
    <t>standard error</t>
  </si>
  <si>
    <t>korelasi</t>
  </si>
  <si>
    <t>Untuk mendapat salary 100,000 itu butuh apa?</t>
  </si>
  <si>
    <t>r square</t>
  </si>
  <si>
    <t>konklusi</t>
  </si>
  <si>
    <t>terdapat korelasi yang sangat kuat antara rnd spend sama profit</t>
  </si>
  <si>
    <t>f stat</t>
  </si>
  <si>
    <t>degree of freedom (jumlah sampel - jumlah kelompok mirip anova)</t>
  </si>
  <si>
    <t>asumsi 1 dipenuhi</t>
  </si>
  <si>
    <t>Berdasarkan data terlampir, diketahui terdapat 4 variabel yaitu</t>
  </si>
  <si>
    <t>sum of square regression</t>
  </si>
  <si>
    <t>sum of square residual</t>
  </si>
  <si>
    <t>-&gt; dipake buat ngitung RMSE</t>
  </si>
  <si>
    <t>asumsi 2</t>
  </si>
  <si>
    <t>residual berdistribusi normal</t>
  </si>
  <si>
    <t>Variabel</t>
  </si>
  <si>
    <t>Jenis</t>
  </si>
  <si>
    <t>y = b1x + b0</t>
  </si>
  <si>
    <t>X</t>
  </si>
  <si>
    <t>Variabel X dan Y pada Data</t>
  </si>
  <si>
    <t>model regresi linear</t>
  </si>
  <si>
    <t>y =</t>
  </si>
  <si>
    <t>x</t>
  </si>
  <si>
    <t>asumsi 2 dipenuhi</t>
  </si>
  <si>
    <t>goal scored</t>
  </si>
  <si>
    <t>koefisien determinasi</t>
  </si>
  <si>
    <t>Y</t>
  </si>
  <si>
    <t>standar umum r square dikatakan cukup bagus</t>
  </si>
  <si>
    <t>&gt;= 0.8</t>
  </si>
  <si>
    <t>Untuk menentukan variabel X yang mana yang dipilih kedalam tugas regresi linier ini, dilakukan dengan melihat korelasi mana yang paling besar diantara masing-masing variabel X kepada variabel X (Appearance, goal scored, assist) terhadap variabel Y yaitu Salary</t>
  </si>
  <si>
    <t>skip kalo dibawah</t>
  </si>
  <si>
    <t>asumsi 3</t>
  </si>
  <si>
    <t>variansi konstan (homoskedastik)</t>
  </si>
  <si>
    <t>conclusion</t>
  </si>
  <si>
    <t>model regresi linear yang dibangun dari sisi rsquare (kemampuan merepresentasikan data sesungguhnya)</t>
  </si>
  <si>
    <t>asumsi 3 juga dipenuhi</t>
  </si>
  <si>
    <t>sudah sangat bagus</t>
  </si>
  <si>
    <t>step 3</t>
  </si>
  <si>
    <t>Cek Korelasi Variabel</t>
  </si>
  <si>
    <t>Salary</t>
  </si>
  <si>
    <t>Keterangan</t>
  </si>
  <si>
    <t>cek parameter</t>
  </si>
  <si>
    <t>Appearance</t>
  </si>
  <si>
    <t>Kurang ada korelasi</t>
  </si>
  <si>
    <t>MAPE</t>
  </si>
  <si>
    <t>rata rata dari error ratio</t>
  </si>
  <si>
    <t>Goal Scored</t>
  </si>
  <si>
    <t>Korelasi sangat kuat</t>
  </si>
  <si>
    <t>RMSE</t>
  </si>
  <si>
    <t>akar dari rata rata dari residual kuadrat</t>
  </si>
  <si>
    <t>Assist</t>
  </si>
  <si>
    <t>rentang korelasi</t>
  </si>
  <si>
    <t>sampai</t>
  </si>
  <si>
    <t>rekap :</t>
  </si>
  <si>
    <t>0.8 - 1</t>
  </si>
  <si>
    <t>sangat kuat / kuat</t>
  </si>
  <si>
    <t>0.65 - 0.8</t>
  </si>
  <si>
    <t>cukup kuat</t>
  </si>
  <si>
    <t>&lt; 0.5</t>
  </si>
  <si>
    <t>kurang ada hub linear</t>
  </si>
  <si>
    <t>asumsi 3 dipenuhi</t>
  </si>
  <si>
    <t>r square ok</t>
  </si>
  <si>
    <t>-0.8 sampai -1</t>
  </si>
  <si>
    <t>sangat kuat</t>
  </si>
  <si>
    <t>MAPEsudah kurang dari 10%</t>
  </si>
  <si>
    <t>Sangat Oke</t>
  </si>
  <si>
    <t>-0.65 sampai -0.8</t>
  </si>
  <si>
    <t>Maka</t>
  </si>
  <si>
    <t>Semua asumsi terpenuhi</t>
  </si>
  <si>
    <t>dengan mempertimbangkan parameter2 dan asumsi yang dibutuhkan dalam model regresi linear, model sudah cukup baik untuk memprediksi salary dengan menggunakan prediktor (x) : Goal score</t>
  </si>
  <si>
    <t>data pertama</t>
  </si>
  <si>
    <t>Salary actual</t>
  </si>
  <si>
    <t>Salary predicted</t>
  </si>
  <si>
    <t>confidence interval</t>
  </si>
  <si>
    <t>batas bawah</t>
  </si>
  <si>
    <t>Data pertama tidak ada direntang data ini, karena masih ada +- 2% data yang diluar rentang confidence interval</t>
  </si>
  <si>
    <t>batas atas</t>
  </si>
  <si>
    <t>Goal scored data 1</t>
  </si>
  <si>
    <t>Bagaimana cara agar salary</t>
  </si>
  <si>
    <t>yang harus dilakukan pesepak bola?</t>
  </si>
  <si>
    <t>y 100.000</t>
  </si>
  <si>
    <t>x ?</t>
  </si>
  <si>
    <t>100.000 =</t>
  </si>
  <si>
    <t>1538.190122 x</t>
  </si>
  <si>
    <t>ditambah</t>
  </si>
  <si>
    <t>sama dengan</t>
  </si>
  <si>
    <t>untuk mendapatkan salary 100.000</t>
  </si>
  <si>
    <t>dengan menggunakan model regresi linear yang sudah dibangun dan sudah dievaluasi</t>
  </si>
  <si>
    <t>maka pesepak bola harus bisa mencetak gol sebanyak</t>
  </si>
  <si>
    <t>gol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</si>
</sst>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horizontal="right" vertical="bottom"/>
    </xf>
    <xf borderId="0" fillId="0" fontId="3" numFmtId="10" xfId="0" applyFont="1" applyNumberFormat="1"/>
    <xf borderId="0" fillId="0" fontId="3" numFmtId="164" xfId="0" applyFont="1" applyNumberFormat="1"/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horizontal="right" vertical="bottom"/>
    </xf>
    <xf borderId="0" fillId="3" fontId="2" numFmtId="0" xfId="0" applyAlignment="1" applyFont="1">
      <alignment vertical="bottom"/>
    </xf>
    <xf borderId="0" fillId="3" fontId="2" numFmtId="4" xfId="0" applyAlignment="1" applyFont="1" applyNumberFormat="1">
      <alignment horizontal="right" vertical="bottom"/>
    </xf>
    <xf borderId="0" fillId="4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6" fontId="3" numFmtId="0" xfId="0" applyAlignment="1" applyFill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Font="1"/>
    <xf borderId="0" fillId="3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shrinkToFit="0" wrapText="1"/>
    </xf>
    <xf borderId="0" fillId="0" fontId="2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4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vertical="bottom"/>
    </xf>
    <xf borderId="0" fillId="4" fontId="2" numFmtId="0" xfId="0" applyAlignment="1" applyFon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3" fontId="2" numFmtId="1" xfId="0" applyAlignment="1" applyFont="1" applyNumberFormat="1">
      <alignment horizontal="right" vertical="bottom"/>
    </xf>
    <xf borderId="0" fillId="3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Residual/Error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'All Star Player Data'!$Z$1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'All Star Player Data'!$Z$2:$Z$31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876831"/>
        <c:axId val="1778578703"/>
      </c:scatterChart>
      <c:valAx>
        <c:axId val="325876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578703"/>
      </c:valAx>
      <c:valAx>
        <c:axId val="1778578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Residual/Error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876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1009650</xdr:colOff>
      <xdr:row>4</xdr:row>
      <xdr:rowOff>104775</xdr:rowOff>
    </xdr:from>
    <xdr:ext cx="3514725" cy="2162175"/>
    <xdr:pic>
      <xdr:nvPicPr>
        <xdr:cNvPr id="2141554052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1085850</xdr:colOff>
      <xdr:row>4</xdr:row>
      <xdr:rowOff>104775</xdr:rowOff>
    </xdr:from>
    <xdr:ext cx="3514725" cy="21621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17" max="17" width="20.38"/>
    <col customWidth="1" min="20" max="20" width="19.0"/>
    <col customWidth="1" min="25" max="4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>
        <v>1.0</v>
      </c>
      <c r="G1" s="3" t="s">
        <v>4</v>
      </c>
      <c r="K1" s="4" t="s">
        <v>4</v>
      </c>
      <c r="N1" s="1" t="s">
        <v>1</v>
      </c>
      <c r="O1" s="1" t="s">
        <v>3</v>
      </c>
      <c r="Q1" s="5"/>
      <c r="R1" s="5" t="s">
        <v>5</v>
      </c>
      <c r="S1" s="5" t="s">
        <v>6</v>
      </c>
      <c r="U1" s="5"/>
      <c r="V1" s="5"/>
      <c r="W1" s="5"/>
      <c r="X1" s="4" t="s">
        <v>7</v>
      </c>
      <c r="Y1" s="6" t="s">
        <v>8</v>
      </c>
      <c r="Z1" s="6" t="s">
        <v>9</v>
      </c>
      <c r="AA1" s="6" t="s">
        <v>10</v>
      </c>
      <c r="AB1" s="6" t="s">
        <v>11</v>
      </c>
      <c r="AC1" s="6" t="s">
        <v>12</v>
      </c>
      <c r="AD1" s="4"/>
      <c r="AE1" s="7" t="s">
        <v>13</v>
      </c>
      <c r="AG1" s="7"/>
      <c r="AH1" s="7"/>
      <c r="AI1" s="4"/>
      <c r="AJ1" s="4"/>
      <c r="AK1" s="4"/>
      <c r="AL1" s="4"/>
      <c r="AM1" s="4"/>
      <c r="AN1" s="4"/>
    </row>
    <row r="2">
      <c r="A2" s="8">
        <v>62.0</v>
      </c>
      <c r="B2" s="9">
        <v>24.0</v>
      </c>
      <c r="C2" s="8">
        <v>21.0</v>
      </c>
      <c r="D2" s="10">
        <v>55648.0</v>
      </c>
      <c r="F2" s="2">
        <v>2.0</v>
      </c>
      <c r="G2" s="3" t="s">
        <v>13</v>
      </c>
      <c r="K2" s="11" t="s">
        <v>14</v>
      </c>
      <c r="N2" s="9">
        <v>24.0</v>
      </c>
      <c r="O2" s="10">
        <v>55648.0</v>
      </c>
      <c r="Q2" s="5" t="s">
        <v>15</v>
      </c>
      <c r="R2" s="12">
        <f t="array" ref="R2:S6">linest(O2:O31,N2:N31,true,true)</f>
        <v>1538.190122</v>
      </c>
      <c r="S2" s="12">
        <v>15212.72079386558</v>
      </c>
      <c r="T2" s="5"/>
      <c r="U2" s="5"/>
      <c r="V2" s="5"/>
      <c r="W2" s="5"/>
      <c r="Y2" s="8">
        <f t="shared" ref="Y2:Y31" si="1">$S$8*N2+$S$9</f>
        <v>52129.28372</v>
      </c>
      <c r="Z2" s="8">
        <f t="shared" ref="Z2:Z31" si="2">O2-Y2</f>
        <v>3518.716283</v>
      </c>
      <c r="AA2" s="8">
        <f t="shared" ref="AA2:AA31" si="3">ABS(Z2:Z31)</f>
        <v>3518.716283</v>
      </c>
      <c r="AB2" s="13">
        <f t="shared" ref="AB2:AB31" si="4">AA2/O2</f>
        <v>0.06323167559</v>
      </c>
      <c r="AC2" s="14">
        <f t="shared" ref="AC2:AC31" si="5">AA2^2</f>
        <v>12381364.28</v>
      </c>
      <c r="AE2" s="15" t="s">
        <v>16</v>
      </c>
      <c r="AF2" s="15" t="s">
        <v>17</v>
      </c>
      <c r="AG2" s="5"/>
      <c r="AH2" s="5"/>
    </row>
    <row r="3">
      <c r="A3" s="8">
        <v>61.0</v>
      </c>
      <c r="B3" s="9">
        <v>33.0</v>
      </c>
      <c r="C3" s="8">
        <v>17.0</v>
      </c>
      <c r="D3" s="9">
        <v>64646.0</v>
      </c>
      <c r="F3" s="2">
        <v>3.0</v>
      </c>
      <c r="G3" s="3" t="s">
        <v>18</v>
      </c>
      <c r="N3" s="9">
        <v>33.0</v>
      </c>
      <c r="O3" s="9">
        <v>64646.0</v>
      </c>
      <c r="Q3" s="5" t="s">
        <v>19</v>
      </c>
      <c r="R3" s="16">
        <v>40.686308347884555</v>
      </c>
      <c r="S3" s="16">
        <v>1343.3055710397375</v>
      </c>
      <c r="T3" s="5"/>
      <c r="U3" s="5"/>
      <c r="V3" s="5"/>
      <c r="W3" s="5"/>
      <c r="Y3" s="8">
        <f t="shared" si="1"/>
        <v>65972.99481</v>
      </c>
      <c r="Z3" s="8">
        <f t="shared" si="2"/>
        <v>-1326.994813</v>
      </c>
      <c r="AA3" s="8">
        <f t="shared" si="3"/>
        <v>1326.994813</v>
      </c>
      <c r="AB3" s="13">
        <f t="shared" si="4"/>
        <v>0.02052709855</v>
      </c>
      <c r="AC3" s="14">
        <f t="shared" si="5"/>
        <v>1760915.233</v>
      </c>
      <c r="AE3" s="17" t="s">
        <v>20</v>
      </c>
      <c r="AF3" s="18">
        <v>0.9729004656594832</v>
      </c>
      <c r="AG3" s="5"/>
      <c r="AH3" s="5"/>
    </row>
    <row r="4">
      <c r="A4" s="8">
        <v>61.0</v>
      </c>
      <c r="B4" s="9">
        <v>33.0</v>
      </c>
      <c r="C4" s="8">
        <v>17.0</v>
      </c>
      <c r="D4" s="9">
        <v>64528.0</v>
      </c>
      <c r="F4" s="4">
        <v>4.0</v>
      </c>
      <c r="G4" s="4" t="s">
        <v>21</v>
      </c>
      <c r="N4" s="9">
        <v>33.0</v>
      </c>
      <c r="O4" s="9">
        <v>64528.0</v>
      </c>
      <c r="Q4" s="5" t="s">
        <v>22</v>
      </c>
      <c r="R4" s="19">
        <v>0.9807863888193126</v>
      </c>
      <c r="S4" s="16">
        <v>1978.5430054887033</v>
      </c>
      <c r="T4" s="5" t="s">
        <v>19</v>
      </c>
      <c r="V4" s="5"/>
      <c r="W4" s="5"/>
      <c r="Y4" s="8">
        <f t="shared" si="1"/>
        <v>65972.99481</v>
      </c>
      <c r="Z4" s="8">
        <f t="shared" si="2"/>
        <v>-1444.994813</v>
      </c>
      <c r="AA4" s="8">
        <f t="shared" si="3"/>
        <v>1444.994813</v>
      </c>
      <c r="AB4" s="13">
        <f t="shared" si="4"/>
        <v>0.02239329923</v>
      </c>
      <c r="AC4" s="14">
        <f t="shared" si="5"/>
        <v>2088010.009</v>
      </c>
      <c r="AE4" s="17" t="s">
        <v>23</v>
      </c>
      <c r="AF4" s="17" t="s">
        <v>24</v>
      </c>
      <c r="AG4" s="5"/>
      <c r="AH4" s="5"/>
    </row>
    <row r="5">
      <c r="A5" s="8">
        <v>62.0</v>
      </c>
      <c r="B5" s="9">
        <v>42.0</v>
      </c>
      <c r="C5" s="8">
        <v>17.0</v>
      </c>
      <c r="D5" s="9">
        <v>80565.0</v>
      </c>
      <c r="N5" s="9">
        <v>42.0</v>
      </c>
      <c r="O5" s="9">
        <v>80565.0</v>
      </c>
      <c r="Q5" s="5" t="s">
        <v>25</v>
      </c>
      <c r="R5" s="16">
        <v>1429.3002303775236</v>
      </c>
      <c r="S5" s="16">
        <v>28.0</v>
      </c>
      <c r="T5" s="5" t="s">
        <v>26</v>
      </c>
      <c r="U5" s="5"/>
      <c r="V5" s="5"/>
      <c r="W5" s="5"/>
      <c r="Y5" s="8">
        <f t="shared" si="1"/>
        <v>79816.70591</v>
      </c>
      <c r="Z5" s="8">
        <f t="shared" si="2"/>
        <v>748.2940911</v>
      </c>
      <c r="AA5" s="8">
        <f t="shared" si="3"/>
        <v>748.2940911</v>
      </c>
      <c r="AB5" s="13">
        <f t="shared" si="4"/>
        <v>0.00928807908</v>
      </c>
      <c r="AC5" s="14">
        <f t="shared" si="5"/>
        <v>559944.0468</v>
      </c>
      <c r="AE5" s="5"/>
      <c r="AF5" s="17" t="s">
        <v>27</v>
      </c>
      <c r="AG5" s="5"/>
      <c r="AH5" s="5"/>
    </row>
    <row r="6">
      <c r="A6" s="8">
        <v>62.0</v>
      </c>
      <c r="B6" s="9">
        <v>32.0</v>
      </c>
      <c r="C6" s="8">
        <v>16.0</v>
      </c>
      <c r="D6" s="10">
        <v>61248.0</v>
      </c>
      <c r="E6" s="4" t="s">
        <v>28</v>
      </c>
      <c r="N6" s="9">
        <v>32.0</v>
      </c>
      <c r="O6" s="10">
        <v>61248.0</v>
      </c>
      <c r="Q6" s="5" t="s">
        <v>29</v>
      </c>
      <c r="R6" s="16">
        <v>5.595185026278753E9</v>
      </c>
      <c r="S6" s="16">
        <v>1.0960970788791159E8</v>
      </c>
      <c r="T6" s="5" t="s">
        <v>30</v>
      </c>
      <c r="U6" s="5" t="s">
        <v>31</v>
      </c>
      <c r="Y6" s="8">
        <f t="shared" si="1"/>
        <v>64434.80469</v>
      </c>
      <c r="Z6" s="8">
        <f t="shared" si="2"/>
        <v>-3186.804691</v>
      </c>
      <c r="AA6" s="8">
        <f t="shared" si="3"/>
        <v>3186.804691</v>
      </c>
      <c r="AB6" s="13">
        <f t="shared" si="4"/>
        <v>0.05203116332</v>
      </c>
      <c r="AC6" s="14">
        <f t="shared" si="5"/>
        <v>10155724.14</v>
      </c>
      <c r="AE6" s="5" t="s">
        <v>32</v>
      </c>
      <c r="AF6" s="5" t="s">
        <v>33</v>
      </c>
      <c r="AG6" s="5"/>
      <c r="AH6" s="5"/>
    </row>
    <row r="7">
      <c r="A7" s="8">
        <v>62.0</v>
      </c>
      <c r="B7" s="9">
        <v>21.0</v>
      </c>
      <c r="C7" s="8">
        <v>20.0</v>
      </c>
      <c r="D7" s="9">
        <v>47292.0</v>
      </c>
      <c r="E7" s="20" t="s">
        <v>34</v>
      </c>
      <c r="F7" s="20" t="s">
        <v>35</v>
      </c>
      <c r="N7" s="9">
        <v>21.0</v>
      </c>
      <c r="O7" s="9">
        <v>47292.0</v>
      </c>
      <c r="Q7" s="5"/>
      <c r="R7" s="5" t="s">
        <v>36</v>
      </c>
      <c r="T7" s="5"/>
      <c r="U7" s="5"/>
      <c r="V7" s="5"/>
      <c r="W7" s="5"/>
      <c r="Y7" s="8">
        <f t="shared" si="1"/>
        <v>47514.71335</v>
      </c>
      <c r="Z7" s="8">
        <f t="shared" si="2"/>
        <v>-222.7133514</v>
      </c>
      <c r="AA7" s="8">
        <f t="shared" si="3"/>
        <v>222.7133514</v>
      </c>
      <c r="AB7" s="13">
        <f t="shared" si="4"/>
        <v>0.004709324016</v>
      </c>
      <c r="AC7" s="14">
        <f t="shared" si="5"/>
        <v>49601.23688</v>
      </c>
      <c r="AE7" s="5"/>
      <c r="AF7" s="21" t="s">
        <v>33</v>
      </c>
      <c r="AG7" s="5"/>
      <c r="AH7" s="5"/>
    </row>
    <row r="8">
      <c r="A8" s="8">
        <v>73.0</v>
      </c>
      <c r="B8" s="9">
        <v>54.0</v>
      </c>
      <c r="C8" s="8">
        <v>27.0</v>
      </c>
      <c r="D8" s="9">
        <v>99922.0</v>
      </c>
      <c r="E8" s="4" t="s">
        <v>0</v>
      </c>
      <c r="F8" s="4" t="s">
        <v>37</v>
      </c>
      <c r="G8" s="22" t="s">
        <v>38</v>
      </c>
      <c r="N8" s="9">
        <v>54.0</v>
      </c>
      <c r="O8" s="9">
        <v>99922.0</v>
      </c>
      <c r="Q8" s="5" t="s">
        <v>39</v>
      </c>
      <c r="R8" s="5" t="s">
        <v>40</v>
      </c>
      <c r="S8" s="21">
        <f>R2</f>
        <v>1538.190122</v>
      </c>
      <c r="T8" s="5" t="s">
        <v>41</v>
      </c>
      <c r="U8" s="5"/>
      <c r="V8" s="5"/>
      <c r="W8" s="5"/>
      <c r="Y8" s="8">
        <f t="shared" si="1"/>
        <v>98274.98737</v>
      </c>
      <c r="Z8" s="8">
        <f t="shared" si="2"/>
        <v>1647.01263</v>
      </c>
      <c r="AA8" s="8">
        <f t="shared" si="3"/>
        <v>1647.01263</v>
      </c>
      <c r="AB8" s="13">
        <f t="shared" si="4"/>
        <v>0.01648298302</v>
      </c>
      <c r="AC8" s="14">
        <f t="shared" si="5"/>
        <v>2712650.602</v>
      </c>
      <c r="AE8" s="17" t="s">
        <v>23</v>
      </c>
      <c r="AF8" s="12" t="s">
        <v>42</v>
      </c>
      <c r="AG8" s="5"/>
      <c r="AH8" s="5"/>
    </row>
    <row r="9">
      <c r="A9" s="8">
        <v>72.0</v>
      </c>
      <c r="B9" s="9">
        <v>20.0</v>
      </c>
      <c r="C9" s="8">
        <v>22.0</v>
      </c>
      <c r="D9" s="9">
        <v>45736.0</v>
      </c>
      <c r="E9" s="4" t="s">
        <v>43</v>
      </c>
      <c r="F9" s="4" t="s">
        <v>37</v>
      </c>
      <c r="N9" s="9">
        <v>20.0</v>
      </c>
      <c r="O9" s="9">
        <v>45736.0</v>
      </c>
      <c r="Q9" s="5"/>
      <c r="R9" s="5"/>
      <c r="S9" s="21">
        <f>S2</f>
        <v>15212.72079</v>
      </c>
      <c r="T9" s="5"/>
      <c r="U9" s="5"/>
      <c r="V9" s="5"/>
      <c r="W9" s="5"/>
      <c r="Y9" s="8">
        <f t="shared" si="1"/>
        <v>45976.52323</v>
      </c>
      <c r="Z9" s="8">
        <f t="shared" si="2"/>
        <v>-240.5232296</v>
      </c>
      <c r="AA9" s="8">
        <f t="shared" si="3"/>
        <v>240.5232296</v>
      </c>
      <c r="AB9" s="13">
        <f t="shared" si="4"/>
        <v>0.005258947647</v>
      </c>
      <c r="AC9" s="14">
        <f t="shared" si="5"/>
        <v>57851.42397</v>
      </c>
      <c r="AE9" s="5"/>
      <c r="AF9" s="5"/>
      <c r="AG9" s="5"/>
      <c r="AH9" s="5"/>
    </row>
    <row r="10">
      <c r="A10" s="8">
        <v>61.0</v>
      </c>
      <c r="B10" s="9">
        <v>32.0</v>
      </c>
      <c r="C10" s="8">
        <v>22.0</v>
      </c>
      <c r="D10" s="9">
        <v>66138.0</v>
      </c>
      <c r="E10" s="4" t="s">
        <v>2</v>
      </c>
      <c r="F10" s="4" t="s">
        <v>37</v>
      </c>
      <c r="N10" s="9">
        <v>32.0</v>
      </c>
      <c r="O10" s="9">
        <v>66138.0</v>
      </c>
      <c r="Q10" s="5" t="s">
        <v>22</v>
      </c>
      <c r="R10" s="23">
        <f>R4</f>
        <v>0.9807863888</v>
      </c>
      <c r="S10" s="5" t="s">
        <v>44</v>
      </c>
      <c r="U10" s="5"/>
      <c r="V10" s="5"/>
      <c r="W10" s="5"/>
      <c r="Y10" s="8">
        <f t="shared" si="1"/>
        <v>64434.80469</v>
      </c>
      <c r="Z10" s="8">
        <f t="shared" si="2"/>
        <v>1703.195309</v>
      </c>
      <c r="AA10" s="8">
        <f t="shared" si="3"/>
        <v>1703.195309</v>
      </c>
      <c r="AB10" s="13">
        <f t="shared" si="4"/>
        <v>0.02575214414</v>
      </c>
      <c r="AC10" s="14">
        <f t="shared" si="5"/>
        <v>2900874.261</v>
      </c>
      <c r="AE10" s="5"/>
      <c r="AF10" s="5"/>
      <c r="AG10" s="5"/>
      <c r="AH10" s="5"/>
    </row>
    <row r="11">
      <c r="A11" s="8">
        <v>71.0</v>
      </c>
      <c r="B11" s="9">
        <v>36.0</v>
      </c>
      <c r="C11" s="8">
        <v>16.0</v>
      </c>
      <c r="D11" s="9">
        <v>70377.0</v>
      </c>
      <c r="E11" s="4" t="s">
        <v>3</v>
      </c>
      <c r="F11" s="4" t="s">
        <v>45</v>
      </c>
      <c r="N11" s="9">
        <v>36.0</v>
      </c>
      <c r="O11" s="9">
        <v>70377.0</v>
      </c>
      <c r="Q11" s="5" t="s">
        <v>46</v>
      </c>
      <c r="T11" s="5" t="s">
        <v>47</v>
      </c>
      <c r="U11" s="5"/>
      <c r="V11" s="5"/>
      <c r="W11" s="5"/>
      <c r="Y11" s="8">
        <f t="shared" si="1"/>
        <v>70587.56518</v>
      </c>
      <c r="Z11" s="8">
        <f t="shared" si="2"/>
        <v>-210.5651782</v>
      </c>
      <c r="AA11" s="8">
        <f t="shared" si="3"/>
        <v>210.5651782</v>
      </c>
      <c r="AB11" s="13">
        <f t="shared" si="4"/>
        <v>0.002991960131</v>
      </c>
      <c r="AC11" s="14">
        <f t="shared" si="5"/>
        <v>44337.69426</v>
      </c>
      <c r="AE11" s="5"/>
      <c r="AF11" s="5"/>
      <c r="AG11" s="5"/>
      <c r="AH11" s="5"/>
    </row>
    <row r="12">
      <c r="A12" s="8">
        <v>65.0</v>
      </c>
      <c r="B12" s="9">
        <v>42.0</v>
      </c>
      <c r="C12" s="8">
        <v>16.0</v>
      </c>
      <c r="D12" s="9">
        <v>78807.0</v>
      </c>
      <c r="E12" s="11" t="s">
        <v>48</v>
      </c>
      <c r="N12" s="9">
        <v>42.0</v>
      </c>
      <c r="O12" s="9">
        <v>78807.0</v>
      </c>
      <c r="Q12" s="5"/>
      <c r="R12" s="5"/>
      <c r="S12" s="5" t="s">
        <v>49</v>
      </c>
      <c r="T12" s="21">
        <v>0.7</v>
      </c>
      <c r="U12" s="5"/>
      <c r="V12" s="5"/>
      <c r="W12" s="5"/>
      <c r="Y12" s="8">
        <f t="shared" si="1"/>
        <v>79816.70591</v>
      </c>
      <c r="Z12" s="8">
        <f t="shared" si="2"/>
        <v>-1009.705909</v>
      </c>
      <c r="AA12" s="8">
        <f t="shared" si="3"/>
        <v>1009.705909</v>
      </c>
      <c r="AB12" s="13">
        <f t="shared" si="4"/>
        <v>0.01281238861</v>
      </c>
      <c r="AC12" s="14">
        <f t="shared" si="5"/>
        <v>1019506.022</v>
      </c>
      <c r="AE12" s="5" t="s">
        <v>50</v>
      </c>
      <c r="AF12" s="5" t="s">
        <v>51</v>
      </c>
      <c r="AH12" s="5"/>
    </row>
    <row r="13">
      <c r="A13" s="8">
        <v>64.0</v>
      </c>
      <c r="B13" s="9">
        <v>38.0</v>
      </c>
      <c r="C13" s="8">
        <v>20.0</v>
      </c>
      <c r="D13" s="9">
        <v>73073.0</v>
      </c>
      <c r="N13" s="9">
        <v>38.0</v>
      </c>
      <c r="O13" s="9">
        <v>73073.0</v>
      </c>
      <c r="Q13" s="5" t="s">
        <v>52</v>
      </c>
      <c r="R13" s="5" t="s">
        <v>53</v>
      </c>
      <c r="S13" s="5"/>
      <c r="T13" s="5"/>
      <c r="U13" s="5"/>
      <c r="V13" s="5"/>
      <c r="W13" s="5"/>
      <c r="Y13" s="8">
        <f t="shared" si="1"/>
        <v>73663.94542</v>
      </c>
      <c r="Z13" s="8">
        <f t="shared" si="2"/>
        <v>-590.9454217</v>
      </c>
      <c r="AA13" s="8">
        <f t="shared" si="3"/>
        <v>590.9454217</v>
      </c>
      <c r="AB13" s="13">
        <f t="shared" si="4"/>
        <v>0.008087055708</v>
      </c>
      <c r="AC13" s="14">
        <f t="shared" si="5"/>
        <v>349216.4915</v>
      </c>
      <c r="AE13" s="5" t="s">
        <v>23</v>
      </c>
      <c r="AF13" s="24" t="s">
        <v>54</v>
      </c>
      <c r="AG13" s="5"/>
      <c r="AH13" s="5"/>
    </row>
    <row r="14">
      <c r="A14" s="8">
        <v>71.0</v>
      </c>
      <c r="B14" s="9">
        <v>24.0</v>
      </c>
      <c r="C14" s="8">
        <v>19.0</v>
      </c>
      <c r="D14" s="9">
        <v>52908.0</v>
      </c>
      <c r="N14" s="9">
        <v>24.0</v>
      </c>
      <c r="O14" s="9">
        <v>52908.0</v>
      </c>
      <c r="Q14" s="5"/>
      <c r="R14" s="25" t="s">
        <v>55</v>
      </c>
      <c r="U14" s="5"/>
      <c r="V14" s="5"/>
      <c r="W14" s="5"/>
      <c r="Y14" s="8">
        <f t="shared" si="1"/>
        <v>52129.28372</v>
      </c>
      <c r="Z14" s="8">
        <f t="shared" si="2"/>
        <v>778.7162833</v>
      </c>
      <c r="AA14" s="8">
        <f t="shared" si="3"/>
        <v>778.7162833</v>
      </c>
      <c r="AB14" s="13">
        <f t="shared" si="4"/>
        <v>0.01471830882</v>
      </c>
      <c r="AC14" s="14">
        <f t="shared" si="5"/>
        <v>606399.0498</v>
      </c>
      <c r="AE14" s="5"/>
      <c r="AF14" s="5"/>
      <c r="AG14" s="5"/>
      <c r="AH14" s="5"/>
    </row>
    <row r="15">
      <c r="A15" s="8">
        <v>72.0</v>
      </c>
      <c r="B15" s="9">
        <v>47.0</v>
      </c>
      <c r="C15" s="8">
        <v>27.0</v>
      </c>
      <c r="D15" s="9">
        <v>90116.0</v>
      </c>
      <c r="N15" s="9">
        <v>47.0</v>
      </c>
      <c r="O15" s="9">
        <v>90116.0</v>
      </c>
      <c r="Y15" s="8">
        <f t="shared" si="1"/>
        <v>87507.65652</v>
      </c>
      <c r="Z15" s="8">
        <f t="shared" si="2"/>
        <v>2608.343482</v>
      </c>
      <c r="AA15" s="8">
        <f t="shared" si="3"/>
        <v>2608.343482</v>
      </c>
      <c r="AB15" s="13">
        <f t="shared" si="4"/>
        <v>0.02894428827</v>
      </c>
      <c r="AC15" s="14">
        <f t="shared" si="5"/>
        <v>6803455.721</v>
      </c>
      <c r="AE15" s="21" t="s">
        <v>56</v>
      </c>
      <c r="AF15" s="5"/>
      <c r="AG15" s="5"/>
      <c r="AH15" s="5"/>
    </row>
    <row r="16">
      <c r="A16" s="8">
        <v>75.0</v>
      </c>
      <c r="B16" s="9">
        <v>45.0</v>
      </c>
      <c r="C16" s="8">
        <v>21.0</v>
      </c>
      <c r="D16" s="9">
        <v>81919.0</v>
      </c>
      <c r="E16" s="4" t="s">
        <v>57</v>
      </c>
      <c r="F16" s="4" t="s">
        <v>58</v>
      </c>
      <c r="G16" s="4" t="s">
        <v>59</v>
      </c>
      <c r="N16" s="9">
        <v>45.0</v>
      </c>
      <c r="O16" s="9">
        <v>81919.0</v>
      </c>
      <c r="Y16" s="8">
        <f t="shared" si="1"/>
        <v>84431.27627</v>
      </c>
      <c r="Z16" s="8">
        <f t="shared" si="2"/>
        <v>-2512.276274</v>
      </c>
      <c r="AA16" s="8">
        <f t="shared" si="3"/>
        <v>2512.276274</v>
      </c>
      <c r="AB16" s="13">
        <f t="shared" si="4"/>
        <v>0.03066780935</v>
      </c>
      <c r="AC16" s="14">
        <f t="shared" si="5"/>
        <v>6311532.078</v>
      </c>
      <c r="AE16" s="21" t="s">
        <v>60</v>
      </c>
      <c r="AF16" s="5"/>
      <c r="AG16" s="5"/>
      <c r="AH16" s="5"/>
    </row>
    <row r="17">
      <c r="A17" s="8">
        <v>65.0</v>
      </c>
      <c r="B17" s="9">
        <v>24.0</v>
      </c>
      <c r="C17" s="8">
        <v>20.0</v>
      </c>
      <c r="D17" s="9">
        <v>52797.0</v>
      </c>
      <c r="E17" s="4" t="s">
        <v>61</v>
      </c>
      <c r="F17" s="26">
        <f>Correl($D$2:$D$31,A2:A31)</f>
        <v>0.2554951853</v>
      </c>
      <c r="G17" s="4" t="s">
        <v>62</v>
      </c>
      <c r="N17" s="9">
        <v>24.0</v>
      </c>
      <c r="O17" s="9">
        <v>52797.0</v>
      </c>
      <c r="Y17" s="8">
        <f t="shared" si="1"/>
        <v>52129.28372</v>
      </c>
      <c r="Z17" s="8">
        <f t="shared" si="2"/>
        <v>667.7162833</v>
      </c>
      <c r="AA17" s="8">
        <f t="shared" si="3"/>
        <v>667.7162833</v>
      </c>
      <c r="AB17" s="13">
        <f t="shared" si="4"/>
        <v>0.0126468603</v>
      </c>
      <c r="AC17" s="14">
        <f t="shared" si="5"/>
        <v>445845.0349</v>
      </c>
      <c r="AE17" s="5" t="s">
        <v>63</v>
      </c>
      <c r="AF17" s="23">
        <f>AVERAGE(AB2:AB31)</f>
        <v>0.0240454947</v>
      </c>
      <c r="AG17" s="5" t="s">
        <v>64</v>
      </c>
      <c r="AH17" s="5"/>
    </row>
    <row r="18">
      <c r="A18" s="8">
        <v>66.0</v>
      </c>
      <c r="B18" s="9">
        <v>38.0</v>
      </c>
      <c r="C18" s="8">
        <v>19.0</v>
      </c>
      <c r="D18" s="9">
        <v>74704.0</v>
      </c>
      <c r="E18" s="27" t="s">
        <v>65</v>
      </c>
      <c r="F18" s="28">
        <f>CORREL(D2:D31,B2:B31)</f>
        <v>0.9903466003</v>
      </c>
      <c r="G18" s="27" t="s">
        <v>66</v>
      </c>
      <c r="N18" s="9">
        <v>38.0</v>
      </c>
      <c r="O18" s="9">
        <v>74704.0</v>
      </c>
      <c r="Y18" s="8">
        <f t="shared" si="1"/>
        <v>73663.94542</v>
      </c>
      <c r="Z18" s="8">
        <f t="shared" si="2"/>
        <v>1040.054578</v>
      </c>
      <c r="AA18" s="8">
        <f t="shared" si="3"/>
        <v>1040.054578</v>
      </c>
      <c r="AB18" s="13">
        <f t="shared" si="4"/>
        <v>0.01392234122</v>
      </c>
      <c r="AC18" s="14">
        <f t="shared" si="5"/>
        <v>1081713.526</v>
      </c>
      <c r="AE18" s="5" t="s">
        <v>67</v>
      </c>
      <c r="AF18" s="21">
        <f>sqrt(average(AC2:AC31))</f>
        <v>1911.45414</v>
      </c>
      <c r="AG18" s="5" t="s">
        <v>68</v>
      </c>
      <c r="AH18" s="5"/>
    </row>
    <row r="19">
      <c r="A19" s="8">
        <v>66.0</v>
      </c>
      <c r="B19" s="9">
        <v>29.0</v>
      </c>
      <c r="C19" s="8">
        <v>20.0</v>
      </c>
      <c r="D19" s="10">
        <v>55764.0</v>
      </c>
      <c r="E19" s="4" t="s">
        <v>69</v>
      </c>
      <c r="F19" s="26">
        <f>CORREL(D2:D31,C2:C31)</f>
        <v>0.3342437711</v>
      </c>
      <c r="G19" s="4" t="s">
        <v>62</v>
      </c>
      <c r="N19" s="9">
        <v>29.0</v>
      </c>
      <c r="O19" s="10">
        <v>55764.0</v>
      </c>
      <c r="Y19" s="8">
        <f t="shared" si="1"/>
        <v>59820.23433</v>
      </c>
      <c r="Z19" s="8">
        <f t="shared" si="2"/>
        <v>-4056.234326</v>
      </c>
      <c r="AA19" s="8">
        <f t="shared" si="3"/>
        <v>4056.234326</v>
      </c>
      <c r="AB19" s="13">
        <f t="shared" si="4"/>
        <v>0.07273930001</v>
      </c>
      <c r="AC19" s="14">
        <f t="shared" si="5"/>
        <v>16453036.9</v>
      </c>
      <c r="AE19" s="5"/>
      <c r="AF19" s="5"/>
      <c r="AG19" s="5"/>
      <c r="AH19" s="5"/>
    </row>
    <row r="20">
      <c r="A20" s="8">
        <v>65.0</v>
      </c>
      <c r="B20" s="9">
        <v>23.0</v>
      </c>
      <c r="C20" s="8">
        <v>20.0</v>
      </c>
      <c r="D20" s="9">
        <v>50075.0</v>
      </c>
      <c r="N20" s="9">
        <v>23.0</v>
      </c>
      <c r="O20" s="9">
        <v>50075.0</v>
      </c>
      <c r="Y20" s="8">
        <f t="shared" si="1"/>
        <v>50591.09359</v>
      </c>
      <c r="Z20" s="8">
        <f t="shared" si="2"/>
        <v>-516.0935949</v>
      </c>
      <c r="AA20" s="8">
        <f t="shared" si="3"/>
        <v>516.0935949</v>
      </c>
      <c r="AB20" s="13">
        <f t="shared" si="4"/>
        <v>0.01030641228</v>
      </c>
      <c r="AC20" s="14">
        <f t="shared" si="5"/>
        <v>266352.5987</v>
      </c>
      <c r="AE20" s="5"/>
      <c r="AF20" s="5"/>
      <c r="AG20" s="5"/>
      <c r="AH20" s="5"/>
    </row>
    <row r="21">
      <c r="A21" s="8">
        <v>63.0</v>
      </c>
      <c r="B21" s="9">
        <v>16.0</v>
      </c>
      <c r="C21" s="8">
        <v>17.0</v>
      </c>
      <c r="D21" s="9">
        <v>38985.0</v>
      </c>
      <c r="E21" s="5" t="s">
        <v>70</v>
      </c>
      <c r="F21" s="21">
        <v>-1.0</v>
      </c>
      <c r="G21" s="5" t="s">
        <v>71</v>
      </c>
      <c r="H21" s="21">
        <v>1.0</v>
      </c>
      <c r="N21" s="9">
        <v>16.0</v>
      </c>
      <c r="O21" s="9">
        <v>38985.0</v>
      </c>
      <c r="Y21" s="8">
        <f t="shared" si="1"/>
        <v>39823.76274</v>
      </c>
      <c r="Z21" s="8">
        <f t="shared" si="2"/>
        <v>-838.7627424</v>
      </c>
      <c r="AA21" s="8">
        <f t="shared" si="3"/>
        <v>838.7627424</v>
      </c>
      <c r="AB21" s="13">
        <f t="shared" si="4"/>
        <v>0.02151501199</v>
      </c>
      <c r="AC21" s="14">
        <f t="shared" si="5"/>
        <v>703522.9381</v>
      </c>
      <c r="AE21" s="21" t="s">
        <v>72</v>
      </c>
      <c r="AF21" s="5"/>
      <c r="AG21" s="5"/>
      <c r="AH21" s="5"/>
    </row>
    <row r="22">
      <c r="A22" s="8">
        <v>64.0</v>
      </c>
      <c r="B22" s="9">
        <v>29.0</v>
      </c>
      <c r="C22" s="8">
        <v>22.0</v>
      </c>
      <c r="D22" s="9">
        <v>58106.0</v>
      </c>
      <c r="E22" s="5"/>
      <c r="F22" s="5" t="s">
        <v>73</v>
      </c>
      <c r="G22" s="5" t="s">
        <v>74</v>
      </c>
      <c r="N22" s="9">
        <v>29.0</v>
      </c>
      <c r="O22" s="9">
        <v>58106.0</v>
      </c>
      <c r="Y22" s="8">
        <f t="shared" si="1"/>
        <v>59820.23433</v>
      </c>
      <c r="Z22" s="8">
        <f t="shared" si="2"/>
        <v>-1714.234326</v>
      </c>
      <c r="AA22" s="8">
        <f t="shared" si="3"/>
        <v>1714.234326</v>
      </c>
      <c r="AB22" s="13">
        <f t="shared" si="4"/>
        <v>0.02950184707</v>
      </c>
      <c r="AC22" s="14">
        <f t="shared" si="5"/>
        <v>2938599.323</v>
      </c>
      <c r="AE22" s="21">
        <v>1.0</v>
      </c>
      <c r="AF22" s="5" t="s">
        <v>27</v>
      </c>
      <c r="AH22" s="5"/>
    </row>
    <row r="23">
      <c r="A23" s="8">
        <v>71.0</v>
      </c>
      <c r="B23" s="9">
        <v>35.0</v>
      </c>
      <c r="C23" s="8">
        <v>25.0</v>
      </c>
      <c r="D23" s="10">
        <v>65293.0</v>
      </c>
      <c r="E23" s="5"/>
      <c r="F23" s="5" t="s">
        <v>75</v>
      </c>
      <c r="G23" s="5" t="s">
        <v>76</v>
      </c>
      <c r="N23" s="9">
        <v>35.0</v>
      </c>
      <c r="O23" s="10">
        <v>65293.0</v>
      </c>
      <c r="Y23" s="8">
        <f t="shared" si="1"/>
        <v>69049.37506</v>
      </c>
      <c r="Z23" s="8">
        <f t="shared" si="2"/>
        <v>-3756.375056</v>
      </c>
      <c r="AA23" s="8">
        <f t="shared" si="3"/>
        <v>3756.375056</v>
      </c>
      <c r="AB23" s="13">
        <f t="shared" si="4"/>
        <v>0.0575310532</v>
      </c>
      <c r="AC23" s="14">
        <f t="shared" si="5"/>
        <v>14110353.56</v>
      </c>
      <c r="AE23" s="21">
        <v>2.0</v>
      </c>
      <c r="AF23" s="5" t="s">
        <v>42</v>
      </c>
    </row>
    <row r="24">
      <c r="A24" s="8">
        <v>67.0</v>
      </c>
      <c r="B24" s="9">
        <v>19.0</v>
      </c>
      <c r="C24" s="8">
        <v>19.0</v>
      </c>
      <c r="D24" s="9">
        <v>45382.0</v>
      </c>
      <c r="E24" s="5"/>
      <c r="F24" s="5" t="s">
        <v>77</v>
      </c>
      <c r="G24" s="5" t="s">
        <v>78</v>
      </c>
      <c r="N24" s="9">
        <v>19.0</v>
      </c>
      <c r="O24" s="9">
        <v>45382.0</v>
      </c>
      <c r="Y24" s="8">
        <f t="shared" si="1"/>
        <v>44438.33311</v>
      </c>
      <c r="Z24" s="8">
        <f t="shared" si="2"/>
        <v>943.6668922</v>
      </c>
      <c r="AA24" s="8">
        <f t="shared" si="3"/>
        <v>943.6668922</v>
      </c>
      <c r="AB24" s="13">
        <f t="shared" si="4"/>
        <v>0.02079385863</v>
      </c>
      <c r="AC24" s="14">
        <f t="shared" si="5"/>
        <v>890507.2034</v>
      </c>
      <c r="AE24" s="21">
        <v>3.0</v>
      </c>
      <c r="AF24" s="5" t="s">
        <v>79</v>
      </c>
    </row>
    <row r="25">
      <c r="A25" s="8">
        <v>59.0</v>
      </c>
      <c r="B25" s="9">
        <v>38.0</v>
      </c>
      <c r="C25" s="8">
        <v>21.0</v>
      </c>
      <c r="D25" s="9">
        <v>74328.0</v>
      </c>
      <c r="E25" s="5"/>
      <c r="F25" s="5"/>
      <c r="G25" s="5"/>
      <c r="H25" s="5"/>
      <c r="N25" s="9">
        <v>38.0</v>
      </c>
      <c r="O25" s="9">
        <v>74328.0</v>
      </c>
      <c r="Y25" s="8">
        <f t="shared" si="1"/>
        <v>73663.94542</v>
      </c>
      <c r="Z25" s="8">
        <f t="shared" si="2"/>
        <v>664.0545783</v>
      </c>
      <c r="AA25" s="8">
        <f t="shared" si="3"/>
        <v>664.0545783</v>
      </c>
      <c r="AB25" s="13">
        <f t="shared" si="4"/>
        <v>0.008934110675</v>
      </c>
      <c r="AC25" s="14">
        <f t="shared" si="5"/>
        <v>440968.4829</v>
      </c>
      <c r="AE25" s="29">
        <v>4.0</v>
      </c>
      <c r="AF25" s="5" t="s">
        <v>80</v>
      </c>
    </row>
    <row r="26">
      <c r="A26" s="8">
        <v>65.0</v>
      </c>
      <c r="B26" s="9">
        <v>27.0</v>
      </c>
      <c r="C26" s="8">
        <v>18.0</v>
      </c>
      <c r="D26" s="9">
        <v>57384.0</v>
      </c>
      <c r="E26" s="5"/>
      <c r="F26" s="21" t="s">
        <v>81</v>
      </c>
      <c r="G26" s="21" t="s">
        <v>82</v>
      </c>
      <c r="H26" s="5"/>
      <c r="N26" s="9">
        <v>27.0</v>
      </c>
      <c r="O26" s="9">
        <v>57384.0</v>
      </c>
      <c r="Y26" s="8">
        <f t="shared" si="1"/>
        <v>56743.85408</v>
      </c>
      <c r="Z26" s="8">
        <f t="shared" si="2"/>
        <v>640.1459179</v>
      </c>
      <c r="AA26" s="8">
        <f t="shared" si="3"/>
        <v>640.1459179</v>
      </c>
      <c r="AB26" s="13">
        <f t="shared" si="4"/>
        <v>0.01115547745</v>
      </c>
      <c r="AC26" s="14">
        <f t="shared" si="5"/>
        <v>409786.7962</v>
      </c>
      <c r="AE26" s="21">
        <v>5.0</v>
      </c>
      <c r="AF26" s="30" t="s">
        <v>83</v>
      </c>
      <c r="AG26" s="30" t="s">
        <v>84</v>
      </c>
      <c r="AH26" s="31"/>
    </row>
    <row r="27">
      <c r="A27" s="8">
        <v>65.0</v>
      </c>
      <c r="B27" s="9">
        <v>25.0</v>
      </c>
      <c r="C27" s="8">
        <v>19.0</v>
      </c>
      <c r="D27" s="9">
        <v>52612.0</v>
      </c>
      <c r="E27" s="5"/>
      <c r="F27" s="21" t="s">
        <v>85</v>
      </c>
      <c r="G27" s="21" t="s">
        <v>76</v>
      </c>
      <c r="H27" s="5"/>
      <c r="N27" s="9">
        <v>25.0</v>
      </c>
      <c r="O27" s="9">
        <v>52612.0</v>
      </c>
      <c r="Y27" s="8">
        <f t="shared" si="1"/>
        <v>53667.47384</v>
      </c>
      <c r="Z27" s="8">
        <f t="shared" si="2"/>
        <v>-1055.473839</v>
      </c>
      <c r="AA27" s="8">
        <f t="shared" si="3"/>
        <v>1055.473839</v>
      </c>
      <c r="AB27" s="13">
        <f t="shared" si="4"/>
        <v>0.0200614658</v>
      </c>
      <c r="AC27" s="14">
        <f t="shared" si="5"/>
        <v>1114025.024</v>
      </c>
      <c r="AE27" s="2" t="s">
        <v>86</v>
      </c>
      <c r="AF27" s="32" t="s">
        <v>87</v>
      </c>
      <c r="AH27" s="31"/>
    </row>
    <row r="28">
      <c r="A28" s="8">
        <v>62.0</v>
      </c>
      <c r="B28" s="9">
        <v>34.0</v>
      </c>
      <c r="C28" s="8">
        <v>22.0</v>
      </c>
      <c r="D28" s="9">
        <v>68044.0</v>
      </c>
      <c r="N28" s="9">
        <v>34.0</v>
      </c>
      <c r="O28" s="9">
        <v>68044.0</v>
      </c>
      <c r="Y28" s="8">
        <f t="shared" si="1"/>
        <v>67511.18493</v>
      </c>
      <c r="Z28" s="8">
        <f t="shared" si="2"/>
        <v>532.8150654</v>
      </c>
      <c r="AA28" s="8">
        <f t="shared" si="3"/>
        <v>532.8150654</v>
      </c>
      <c r="AB28" s="13">
        <f t="shared" si="4"/>
        <v>0.007830448907</v>
      </c>
      <c r="AC28" s="14">
        <f t="shared" si="5"/>
        <v>283891.8939</v>
      </c>
      <c r="AE28" s="5" t="s">
        <v>23</v>
      </c>
      <c r="AF28" s="33" t="s">
        <v>88</v>
      </c>
      <c r="AG28" s="5"/>
      <c r="AH28" s="5"/>
    </row>
    <row r="29">
      <c r="A29" s="8">
        <v>63.0</v>
      </c>
      <c r="B29" s="9">
        <v>39.0</v>
      </c>
      <c r="C29" s="8">
        <v>19.0</v>
      </c>
      <c r="D29" s="9">
        <v>76001.0</v>
      </c>
      <c r="N29" s="9">
        <v>39.0</v>
      </c>
      <c r="O29" s="9">
        <v>76001.0</v>
      </c>
      <c r="Y29" s="8">
        <f t="shared" si="1"/>
        <v>75202.13554</v>
      </c>
      <c r="Z29" s="8">
        <f t="shared" si="2"/>
        <v>798.8644565</v>
      </c>
      <c r="AA29" s="8">
        <f t="shared" si="3"/>
        <v>798.8644565</v>
      </c>
      <c r="AB29" s="13">
        <f t="shared" si="4"/>
        <v>0.01051123612</v>
      </c>
      <c r="AC29" s="14">
        <f t="shared" si="5"/>
        <v>638184.4198</v>
      </c>
      <c r="AE29" s="5"/>
      <c r="AG29" s="5"/>
      <c r="AH29" s="5"/>
    </row>
    <row r="30">
      <c r="A30" s="8">
        <v>65.0</v>
      </c>
      <c r="B30" s="9">
        <v>26.0</v>
      </c>
      <c r="C30" s="8">
        <v>22.0</v>
      </c>
      <c r="D30" s="10">
        <v>59298.0</v>
      </c>
      <c r="N30" s="9">
        <v>26.0</v>
      </c>
      <c r="O30" s="10">
        <v>59298.0</v>
      </c>
      <c r="Y30" s="8">
        <f t="shared" si="1"/>
        <v>55205.66396</v>
      </c>
      <c r="Z30" s="8">
        <f t="shared" si="2"/>
        <v>4092.33604</v>
      </c>
      <c r="AA30" s="8">
        <f t="shared" si="3"/>
        <v>4092.33604</v>
      </c>
      <c r="AB30" s="13">
        <f t="shared" si="4"/>
        <v>0.06901305339</v>
      </c>
      <c r="AC30" s="14">
        <f t="shared" si="5"/>
        <v>16747214.26</v>
      </c>
      <c r="AE30" s="5"/>
      <c r="AG30" s="5"/>
      <c r="AH30" s="5"/>
    </row>
    <row r="31">
      <c r="A31" s="8">
        <v>64.0</v>
      </c>
      <c r="B31" s="9">
        <v>29.0</v>
      </c>
      <c r="C31" s="8">
        <v>16.0</v>
      </c>
      <c r="D31" s="10">
        <v>62119.0</v>
      </c>
      <c r="N31" s="9">
        <v>29.0</v>
      </c>
      <c r="O31" s="10">
        <v>62119.0</v>
      </c>
      <c r="Y31" s="8">
        <f t="shared" si="1"/>
        <v>59820.23433</v>
      </c>
      <c r="Z31" s="8">
        <f t="shared" si="2"/>
        <v>2298.765674</v>
      </c>
      <c r="AA31" s="8">
        <f t="shared" si="3"/>
        <v>2298.765674</v>
      </c>
      <c r="AB31" s="13">
        <f t="shared" si="4"/>
        <v>0.03700583838</v>
      </c>
      <c r="AC31" s="14">
        <f t="shared" si="5"/>
        <v>5284323.625</v>
      </c>
      <c r="AE31" s="5"/>
      <c r="AG31" s="5"/>
      <c r="AH31" s="5"/>
    </row>
    <row r="32">
      <c r="AE32" s="5"/>
      <c r="AG32" s="5"/>
      <c r="AH32" s="5"/>
    </row>
    <row r="33">
      <c r="AE33" s="5"/>
      <c r="AG33" s="5"/>
      <c r="AH33" s="5"/>
    </row>
    <row r="34">
      <c r="AE34" s="5"/>
      <c r="AG34" s="5"/>
      <c r="AH34" s="5"/>
    </row>
    <row r="35">
      <c r="AE35" s="5"/>
      <c r="AF35" s="5"/>
      <c r="AG35" s="5"/>
      <c r="AH35" s="5"/>
    </row>
    <row r="36">
      <c r="AE36" s="21" t="s">
        <v>89</v>
      </c>
      <c r="AF36" s="5"/>
      <c r="AG36" s="5"/>
      <c r="AH36" s="5"/>
    </row>
    <row r="37">
      <c r="AE37" s="34">
        <v>55648.0</v>
      </c>
      <c r="AF37" s="35">
        <v>52129.28371673431</v>
      </c>
      <c r="AG37" s="5"/>
      <c r="AH37" s="5"/>
    </row>
    <row r="38">
      <c r="AE38" s="2" t="s">
        <v>90</v>
      </c>
      <c r="AF38" s="2" t="s">
        <v>91</v>
      </c>
      <c r="AG38" s="5"/>
      <c r="AH38" s="5"/>
    </row>
    <row r="39">
      <c r="AE39" s="21" t="s">
        <v>92</v>
      </c>
      <c r="AF39" s="36">
        <v>0.9807</v>
      </c>
      <c r="AG39" s="5"/>
      <c r="AH39" s="5"/>
    </row>
    <row r="40">
      <c r="AE40" s="2">
        <v>52129.0</v>
      </c>
      <c r="AF40" s="5"/>
      <c r="AG40" s="5"/>
      <c r="AH40" s="5"/>
    </row>
    <row r="41">
      <c r="AE41" s="2">
        <v>1911.45</v>
      </c>
      <c r="AF41" s="5"/>
      <c r="AG41" s="5"/>
      <c r="AH41" s="5"/>
    </row>
    <row r="42">
      <c r="AE42" s="21" t="s">
        <v>93</v>
      </c>
      <c r="AF42" s="21">
        <f>AE40-AE41</f>
        <v>50217.55</v>
      </c>
      <c r="AG42" s="37" t="s">
        <v>94</v>
      </c>
    </row>
    <row r="43">
      <c r="AE43" s="21" t="s">
        <v>95</v>
      </c>
      <c r="AF43" s="21">
        <f>AE40+AE41</f>
        <v>54040.45</v>
      </c>
    </row>
    <row r="44">
      <c r="AE44" s="2" t="s">
        <v>96</v>
      </c>
      <c r="AF44" s="9">
        <v>24.0</v>
      </c>
      <c r="AG44" s="5"/>
      <c r="AH44" s="5"/>
    </row>
    <row r="45">
      <c r="AE45" s="5"/>
      <c r="AF45" s="5"/>
      <c r="AG45" s="5"/>
      <c r="AH45" s="5"/>
    </row>
    <row r="46">
      <c r="AE46" s="2" t="s">
        <v>97</v>
      </c>
      <c r="AF46" s="34">
        <v>100000.0</v>
      </c>
      <c r="AG46" s="38" t="s">
        <v>98</v>
      </c>
      <c r="AH46" s="5"/>
    </row>
    <row r="47">
      <c r="AE47" s="21" t="s">
        <v>40</v>
      </c>
      <c r="AF47" s="4">
        <v>1538.190122</v>
      </c>
      <c r="AG47" s="21" t="s">
        <v>41</v>
      </c>
      <c r="AH47" s="5"/>
    </row>
    <row r="48">
      <c r="AE48" s="5"/>
      <c r="AF48" s="21">
        <v>15212.72079386558</v>
      </c>
      <c r="AG48" s="5"/>
      <c r="AH48" s="5"/>
    </row>
    <row r="49">
      <c r="AE49" s="25" t="s">
        <v>99</v>
      </c>
      <c r="AF49" s="5"/>
      <c r="AG49" s="5"/>
      <c r="AH49" s="5"/>
    </row>
    <row r="50">
      <c r="AE50" s="21" t="s">
        <v>100</v>
      </c>
      <c r="AF50" s="5"/>
      <c r="AG50" s="5"/>
      <c r="AH50" s="5"/>
    </row>
    <row r="51">
      <c r="AE51" s="39" t="s">
        <v>101</v>
      </c>
      <c r="AF51" s="39" t="s">
        <v>102</v>
      </c>
      <c r="AG51" s="19" t="s">
        <v>103</v>
      </c>
      <c r="AH51" s="39">
        <v>15212.7207938656</v>
      </c>
    </row>
    <row r="52">
      <c r="AE52" s="21">
        <f>100000-AH51</f>
        <v>84787.27921</v>
      </c>
      <c r="AF52" s="21" t="s">
        <v>104</v>
      </c>
      <c r="AG52" s="2" t="s">
        <v>102</v>
      </c>
      <c r="AH52" s="5"/>
    </row>
    <row r="53">
      <c r="AE53" s="40">
        <f>AE52/AF47</f>
        <v>55.12145605</v>
      </c>
      <c r="AF53" s="21" t="s">
        <v>104</v>
      </c>
      <c r="AG53" s="21" t="s">
        <v>41</v>
      </c>
      <c r="AH53" s="5"/>
    </row>
    <row r="54">
      <c r="AE54" s="21" t="s">
        <v>23</v>
      </c>
      <c r="AF54" s="2" t="s">
        <v>105</v>
      </c>
      <c r="AG54" s="5"/>
      <c r="AH54" s="5"/>
    </row>
    <row r="55">
      <c r="AE55" s="5"/>
      <c r="AF55" s="21" t="s">
        <v>106</v>
      </c>
      <c r="AG55" s="5"/>
      <c r="AH55" s="5"/>
    </row>
    <row r="56">
      <c r="AD56" s="28"/>
      <c r="AE56" s="17"/>
      <c r="AF56" s="41" t="s">
        <v>107</v>
      </c>
      <c r="AG56" s="42">
        <f>AE53</f>
        <v>55.12145605</v>
      </c>
      <c r="AH56" s="43" t="s">
        <v>108</v>
      </c>
    </row>
  </sheetData>
  <mergeCells count="22">
    <mergeCell ref="S1:T1"/>
    <mergeCell ref="AE1:AF1"/>
    <mergeCell ref="K2:M5"/>
    <mergeCell ref="T4:U4"/>
    <mergeCell ref="U6:W6"/>
    <mergeCell ref="R7:S7"/>
    <mergeCell ref="G8:G11"/>
    <mergeCell ref="AF12:AG12"/>
    <mergeCell ref="G23:H23"/>
    <mergeCell ref="G24:H24"/>
    <mergeCell ref="AF24:AH24"/>
    <mergeCell ref="AF25:AH25"/>
    <mergeCell ref="AF27:AG27"/>
    <mergeCell ref="AF28:AF34"/>
    <mergeCell ref="AG42:AI43"/>
    <mergeCell ref="S10:T10"/>
    <mergeCell ref="Q11:S11"/>
    <mergeCell ref="E12:I15"/>
    <mergeCell ref="R14:T14"/>
    <mergeCell ref="G22:H22"/>
    <mergeCell ref="AF22:AG22"/>
    <mergeCell ref="AF23:AH23"/>
  </mergeCells>
  <drawing r:id="rId1"/>
</worksheet>
</file>